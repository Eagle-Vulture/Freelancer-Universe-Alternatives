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24519"/>
</workbook>
</file>

<file path=xl/calcChain.xml><?xml version="1.0" encoding="utf-8"?>
<calcChain xmlns="http://schemas.openxmlformats.org/spreadsheetml/2006/main">
  <c r="G16" i="4"/>
  <c r="D17"/>
  <c r="D18"/>
  <c r="D16"/>
  <c r="C17"/>
  <c r="C18"/>
  <c r="C16"/>
  <c r="G4"/>
  <c r="G7"/>
  <c r="G8"/>
  <c r="G9"/>
  <c r="G11"/>
  <c r="G12"/>
  <c r="G13"/>
  <c r="G14"/>
  <c r="G17"/>
  <c r="G18"/>
  <c r="G3"/>
  <c r="B9"/>
  <c r="D4"/>
  <c r="B6"/>
  <c r="D6" s="1"/>
  <c r="B7"/>
  <c r="C7" s="1"/>
  <c r="B8"/>
  <c r="D8" s="1"/>
  <c r="C9"/>
  <c r="D11"/>
  <c r="D12"/>
  <c r="D13"/>
  <c r="D14"/>
  <c r="C8"/>
  <c r="C11"/>
  <c r="C12"/>
  <c r="C13"/>
  <c r="C14"/>
  <c r="D102" i="2"/>
  <c r="D103"/>
  <c r="D104"/>
  <c r="D105"/>
  <c r="D106"/>
  <c r="D107"/>
  <c r="D101"/>
  <c r="C90"/>
  <c r="D90"/>
  <c r="E90"/>
  <c r="F90"/>
  <c r="G90"/>
  <c r="H90"/>
  <c r="I90"/>
  <c r="J90"/>
  <c r="K90"/>
  <c r="C91"/>
  <c r="D91"/>
  <c r="E91"/>
  <c r="F91"/>
  <c r="G91"/>
  <c r="H91"/>
  <c r="I91"/>
  <c r="J91"/>
  <c r="K91"/>
  <c r="C92"/>
  <c r="D92"/>
  <c r="E92"/>
  <c r="F92"/>
  <c r="G92"/>
  <c r="H92"/>
  <c r="I92"/>
  <c r="J92"/>
  <c r="K92"/>
  <c r="C93"/>
  <c r="D93"/>
  <c r="E93"/>
  <c r="F93"/>
  <c r="G93"/>
  <c r="H93"/>
  <c r="I93"/>
  <c r="J93"/>
  <c r="K93"/>
  <c r="C94"/>
  <c r="D94"/>
  <c r="E94"/>
  <c r="F94"/>
  <c r="G94"/>
  <c r="H94"/>
  <c r="I94"/>
  <c r="J94"/>
  <c r="K94"/>
  <c r="C95"/>
  <c r="D95"/>
  <c r="E95"/>
  <c r="F95"/>
  <c r="G95"/>
  <c r="H95"/>
  <c r="I95"/>
  <c r="J95"/>
  <c r="K95"/>
  <c r="C96"/>
  <c r="D96"/>
  <c r="E96"/>
  <c r="F96"/>
  <c r="G96"/>
  <c r="H96"/>
  <c r="I96"/>
  <c r="J96"/>
  <c r="K96"/>
  <c r="B96"/>
  <c r="B95"/>
  <c r="B92"/>
  <c r="B93" s="1"/>
  <c r="B94" s="1"/>
  <c r="B91"/>
  <c r="B90"/>
  <c r="K63"/>
  <c r="K74"/>
  <c r="K65"/>
  <c r="K73" s="1"/>
  <c r="K64"/>
  <c r="K72" s="1"/>
  <c r="B64"/>
  <c r="C64"/>
  <c r="D64"/>
  <c r="E64"/>
  <c r="F64"/>
  <c r="G64"/>
  <c r="H64"/>
  <c r="I64"/>
  <c r="J64"/>
  <c r="B65"/>
  <c r="B73" s="1"/>
  <c r="C65"/>
  <c r="D65"/>
  <c r="E65"/>
  <c r="E73" s="1"/>
  <c r="F65"/>
  <c r="F73" s="1"/>
  <c r="G65"/>
  <c r="H65"/>
  <c r="I65"/>
  <c r="J65"/>
  <c r="B66"/>
  <c r="C66"/>
  <c r="D66"/>
  <c r="E66"/>
  <c r="F66"/>
  <c r="G66"/>
  <c r="H66"/>
  <c r="H74" s="1"/>
  <c r="I66"/>
  <c r="I74" s="1"/>
  <c r="J66"/>
  <c r="J74" s="1"/>
  <c r="C63"/>
  <c r="D63"/>
  <c r="E63"/>
  <c r="F63"/>
  <c r="G63"/>
  <c r="H63"/>
  <c r="I63"/>
  <c r="J63"/>
  <c r="K71"/>
  <c r="B63"/>
  <c r="D73"/>
  <c r="B72"/>
  <c r="C72"/>
  <c r="D72"/>
  <c r="E72"/>
  <c r="F72"/>
  <c r="G72"/>
  <c r="H72"/>
  <c r="I72"/>
  <c r="J72"/>
  <c r="C73"/>
  <c r="G73"/>
  <c r="H73"/>
  <c r="I73"/>
  <c r="J73"/>
  <c r="B74"/>
  <c r="C74"/>
  <c r="D74"/>
  <c r="E74"/>
  <c r="F74"/>
  <c r="G74"/>
  <c r="C71"/>
  <c r="D71"/>
  <c r="E71"/>
  <c r="F71"/>
  <c r="G71"/>
  <c r="H71"/>
  <c r="I71"/>
  <c r="J71"/>
  <c r="B71"/>
  <c r="F21" i="3"/>
  <c r="F22"/>
  <c r="F23"/>
  <c r="F24"/>
  <c r="F25"/>
  <c r="F26"/>
  <c r="F27"/>
  <c r="F28"/>
  <c r="F29"/>
  <c r="F30"/>
  <c r="F20"/>
  <c r="E21"/>
  <c r="E22"/>
  <c r="E23"/>
  <c r="E24"/>
  <c r="E25"/>
  <c r="E26"/>
  <c r="E27"/>
  <c r="E28"/>
  <c r="E29"/>
  <c r="E30"/>
  <c r="E20"/>
  <c r="B21"/>
  <c r="B22"/>
  <c r="B23"/>
  <c r="B24"/>
  <c r="B25"/>
  <c r="B26"/>
  <c r="B27"/>
  <c r="B28"/>
  <c r="B29"/>
  <c r="B30"/>
  <c r="B20"/>
  <c r="E38"/>
  <c r="B41"/>
  <c r="F38"/>
  <c r="M45" i="1"/>
  <c r="M25"/>
  <c r="M26"/>
  <c r="N26"/>
  <c r="O26"/>
  <c r="M27"/>
  <c r="N27"/>
  <c r="O27"/>
  <c r="M28"/>
  <c r="N28"/>
  <c r="O28"/>
  <c r="M29"/>
  <c r="N29"/>
  <c r="O29"/>
  <c r="M30"/>
  <c r="N30"/>
  <c r="O30"/>
  <c r="M31"/>
  <c r="N31"/>
  <c r="O31"/>
  <c r="M32"/>
  <c r="N32"/>
  <c r="O32"/>
  <c r="M33"/>
  <c r="N33"/>
  <c r="O33"/>
  <c r="M34"/>
  <c r="N34"/>
  <c r="O34"/>
  <c r="M35"/>
  <c r="N35"/>
  <c r="O35"/>
  <c r="M36"/>
  <c r="N36"/>
  <c r="O36"/>
  <c r="M37"/>
  <c r="N37"/>
  <c r="O37"/>
  <c r="M38"/>
  <c r="N38"/>
  <c r="O38"/>
  <c r="M39"/>
  <c r="N39"/>
  <c r="O39"/>
  <c r="M41"/>
  <c r="N41"/>
  <c r="O41"/>
  <c r="M42"/>
  <c r="N42"/>
  <c r="O42"/>
  <c r="N25"/>
  <c r="O25"/>
  <c r="G46"/>
  <c r="G47"/>
  <c r="G48" s="1"/>
  <c r="G42"/>
  <c r="G43"/>
  <c r="G44" s="1"/>
  <c r="G45" s="1"/>
  <c r="G41"/>
  <c r="G40"/>
  <c r="G39"/>
  <c r="X27" i="2"/>
  <c r="X26" s="1"/>
  <c r="X28"/>
  <c r="W26"/>
  <c r="W28"/>
  <c r="W27"/>
  <c r="U18"/>
  <c r="U17"/>
  <c r="U19"/>
  <c r="T19"/>
  <c r="S19"/>
  <c r="R19"/>
  <c r="Q19"/>
  <c r="P19"/>
  <c r="O19"/>
  <c r="N19"/>
  <c r="M19"/>
  <c r="N18"/>
  <c r="O18"/>
  <c r="P18"/>
  <c r="Q18"/>
  <c r="M18"/>
  <c r="T18"/>
  <c r="R18"/>
  <c r="S18"/>
  <c r="O17"/>
  <c r="M16"/>
  <c r="N16"/>
  <c r="Q16"/>
  <c r="P16"/>
  <c r="O16"/>
  <c r="R16"/>
  <c r="S16"/>
  <c r="T16"/>
  <c r="U16"/>
  <c r="N17"/>
  <c r="S17"/>
  <c r="T17"/>
  <c r="R17"/>
  <c r="Q17"/>
  <c r="M17"/>
  <c r="P17"/>
  <c r="B4"/>
  <c r="B3"/>
  <c r="I3" s="1"/>
  <c r="B2"/>
  <c r="H32" i="1"/>
  <c r="C120" s="1"/>
  <c r="H34"/>
  <c r="J35"/>
  <c r="E163" s="1"/>
  <c r="J28"/>
  <c r="J29"/>
  <c r="J27"/>
  <c r="C131"/>
  <c r="D131"/>
  <c r="E131"/>
  <c r="C132"/>
  <c r="D132"/>
  <c r="E132"/>
  <c r="C133"/>
  <c r="D133"/>
  <c r="E133"/>
  <c r="C134"/>
  <c r="D134"/>
  <c r="E134"/>
  <c r="C135"/>
  <c r="D135"/>
  <c r="E135"/>
  <c r="C136"/>
  <c r="D136"/>
  <c r="E136"/>
  <c r="C137"/>
  <c r="D137"/>
  <c r="E137"/>
  <c r="C138"/>
  <c r="D138"/>
  <c r="E138"/>
  <c r="C139"/>
  <c r="D139"/>
  <c r="E139"/>
  <c r="C140"/>
  <c r="D140"/>
  <c r="E140"/>
  <c r="C141"/>
  <c r="D141"/>
  <c r="E141"/>
  <c r="C142"/>
  <c r="D142"/>
  <c r="E142"/>
  <c r="C143"/>
  <c r="D143"/>
  <c r="E143"/>
  <c r="C144"/>
  <c r="D144"/>
  <c r="E144"/>
  <c r="C145"/>
  <c r="D145"/>
  <c r="E145"/>
  <c r="C146"/>
  <c r="D146"/>
  <c r="E146"/>
  <c r="C147"/>
  <c r="D147"/>
  <c r="E147"/>
  <c r="C148"/>
  <c r="D148"/>
  <c r="E148"/>
  <c r="C149"/>
  <c r="D149"/>
  <c r="E149"/>
  <c r="C150"/>
  <c r="D150"/>
  <c r="E150"/>
  <c r="C151"/>
  <c r="D151"/>
  <c r="E151"/>
  <c r="C152"/>
  <c r="D152"/>
  <c r="E152"/>
  <c r="C153"/>
  <c r="D153"/>
  <c r="E153"/>
  <c r="C154"/>
  <c r="D154"/>
  <c r="E154"/>
  <c r="C155"/>
  <c r="D155"/>
  <c r="E155"/>
  <c r="C156"/>
  <c r="D156"/>
  <c r="E156"/>
  <c r="C157"/>
  <c r="D157"/>
  <c r="E157"/>
  <c r="C158"/>
  <c r="D158"/>
  <c r="E158"/>
  <c r="C159"/>
  <c r="D159"/>
  <c r="E159"/>
  <c r="D160"/>
  <c r="E160"/>
  <c r="C161"/>
  <c r="D161"/>
  <c r="E161"/>
  <c r="C162"/>
  <c r="D162"/>
  <c r="E162"/>
  <c r="C163"/>
  <c r="D163"/>
  <c r="C164"/>
  <c r="D164"/>
  <c r="E164"/>
  <c r="E130"/>
  <c r="D130"/>
  <c r="C130"/>
  <c r="H91"/>
  <c r="I91"/>
  <c r="J91"/>
  <c r="H92"/>
  <c r="I92"/>
  <c r="J92"/>
  <c r="H93"/>
  <c r="I93"/>
  <c r="J93"/>
  <c r="H94"/>
  <c r="I94"/>
  <c r="J94"/>
  <c r="H95"/>
  <c r="I95"/>
  <c r="J95"/>
  <c r="H96"/>
  <c r="I96"/>
  <c r="J96"/>
  <c r="H97"/>
  <c r="I97"/>
  <c r="J97"/>
  <c r="H98"/>
  <c r="I98"/>
  <c r="J98"/>
  <c r="H99"/>
  <c r="I99"/>
  <c r="J99"/>
  <c r="H100"/>
  <c r="I100"/>
  <c r="J100"/>
  <c r="H101"/>
  <c r="I101"/>
  <c r="J101"/>
  <c r="H102"/>
  <c r="I102"/>
  <c r="J102"/>
  <c r="H103"/>
  <c r="I103"/>
  <c r="J103"/>
  <c r="H104"/>
  <c r="I104"/>
  <c r="J104"/>
  <c r="H105"/>
  <c r="I105"/>
  <c r="J105"/>
  <c r="H106"/>
  <c r="I106"/>
  <c r="J106"/>
  <c r="H107"/>
  <c r="I107"/>
  <c r="J107"/>
  <c r="H108"/>
  <c r="I108"/>
  <c r="J108"/>
  <c r="H109"/>
  <c r="I109"/>
  <c r="J109"/>
  <c r="H110"/>
  <c r="I110"/>
  <c r="J110"/>
  <c r="H111"/>
  <c r="I111"/>
  <c r="J111"/>
  <c r="H112"/>
  <c r="I112"/>
  <c r="J112"/>
  <c r="H113"/>
  <c r="I113"/>
  <c r="J113"/>
  <c r="H114"/>
  <c r="I114"/>
  <c r="J114"/>
  <c r="H115"/>
  <c r="I115"/>
  <c r="J115"/>
  <c r="H116"/>
  <c r="I116"/>
  <c r="J116"/>
  <c r="H117"/>
  <c r="I117"/>
  <c r="J117"/>
  <c r="H118"/>
  <c r="I118"/>
  <c r="J118"/>
  <c r="H119"/>
  <c r="I119"/>
  <c r="J119"/>
  <c r="I120"/>
  <c r="J120"/>
  <c r="H121"/>
  <c r="I121"/>
  <c r="J121"/>
  <c r="H122"/>
  <c r="I122"/>
  <c r="J122"/>
  <c r="H123"/>
  <c r="I123"/>
  <c r="J123"/>
  <c r="H124"/>
  <c r="I124"/>
  <c r="J124"/>
  <c r="C91"/>
  <c r="D91"/>
  <c r="E91"/>
  <c r="C92"/>
  <c r="D92"/>
  <c r="E92"/>
  <c r="C93"/>
  <c r="D93"/>
  <c r="E93"/>
  <c r="C94"/>
  <c r="D94"/>
  <c r="E94"/>
  <c r="C95"/>
  <c r="D95"/>
  <c r="E95"/>
  <c r="C96"/>
  <c r="D96"/>
  <c r="E96"/>
  <c r="C97"/>
  <c r="D97"/>
  <c r="E97"/>
  <c r="C98"/>
  <c r="D98"/>
  <c r="E98"/>
  <c r="C99"/>
  <c r="D99"/>
  <c r="E99"/>
  <c r="C100"/>
  <c r="D100"/>
  <c r="E100"/>
  <c r="C101"/>
  <c r="D101"/>
  <c r="E101"/>
  <c r="C102"/>
  <c r="D102"/>
  <c r="E102"/>
  <c r="C103"/>
  <c r="D103"/>
  <c r="E103"/>
  <c r="C104"/>
  <c r="D104"/>
  <c r="E104"/>
  <c r="C105"/>
  <c r="D105"/>
  <c r="E105"/>
  <c r="C106"/>
  <c r="D106"/>
  <c r="E106"/>
  <c r="C107"/>
  <c r="D107"/>
  <c r="E107"/>
  <c r="C108"/>
  <c r="D108"/>
  <c r="E108"/>
  <c r="C109"/>
  <c r="D109"/>
  <c r="E109"/>
  <c r="C110"/>
  <c r="D110"/>
  <c r="E110"/>
  <c r="C111"/>
  <c r="D111"/>
  <c r="E111"/>
  <c r="C112"/>
  <c r="D112"/>
  <c r="E112"/>
  <c r="C113"/>
  <c r="D113"/>
  <c r="E113"/>
  <c r="C114"/>
  <c r="D114"/>
  <c r="E114"/>
  <c r="C115"/>
  <c r="D115"/>
  <c r="E115"/>
  <c r="C116"/>
  <c r="D116"/>
  <c r="E116"/>
  <c r="C117"/>
  <c r="D117"/>
  <c r="E117"/>
  <c r="C118"/>
  <c r="D118"/>
  <c r="E118"/>
  <c r="C119"/>
  <c r="D119"/>
  <c r="E119"/>
  <c r="D120"/>
  <c r="E120"/>
  <c r="C121"/>
  <c r="D121"/>
  <c r="E121"/>
  <c r="C122"/>
  <c r="D122"/>
  <c r="E122"/>
  <c r="C123"/>
  <c r="D123"/>
  <c r="C124"/>
  <c r="D124"/>
  <c r="E124"/>
  <c r="J90"/>
  <c r="I90"/>
  <c r="H90"/>
  <c r="E90"/>
  <c r="D90"/>
  <c r="C90"/>
  <c r="C50"/>
  <c r="D50"/>
  <c r="E50"/>
  <c r="H51"/>
  <c r="I51"/>
  <c r="J51"/>
  <c r="H52"/>
  <c r="I52"/>
  <c r="J52"/>
  <c r="H53"/>
  <c r="I53"/>
  <c r="J53"/>
  <c r="H54"/>
  <c r="I54"/>
  <c r="J54"/>
  <c r="H55"/>
  <c r="I55"/>
  <c r="J55"/>
  <c r="H56"/>
  <c r="I56"/>
  <c r="J56"/>
  <c r="H57"/>
  <c r="I57"/>
  <c r="J57"/>
  <c r="H58"/>
  <c r="I58"/>
  <c r="J58"/>
  <c r="H59"/>
  <c r="I59"/>
  <c r="J59"/>
  <c r="H60"/>
  <c r="I60"/>
  <c r="J60"/>
  <c r="H61"/>
  <c r="I61"/>
  <c r="J61"/>
  <c r="H62"/>
  <c r="I62"/>
  <c r="J62"/>
  <c r="H63"/>
  <c r="I63"/>
  <c r="J63"/>
  <c r="H64"/>
  <c r="I64"/>
  <c r="J64"/>
  <c r="H65"/>
  <c r="I65"/>
  <c r="J65"/>
  <c r="H66"/>
  <c r="I66"/>
  <c r="J66"/>
  <c r="H67"/>
  <c r="I67"/>
  <c r="J67"/>
  <c r="H68"/>
  <c r="I68"/>
  <c r="J68"/>
  <c r="H69"/>
  <c r="I69"/>
  <c r="J69"/>
  <c r="H70"/>
  <c r="I70"/>
  <c r="J70"/>
  <c r="H71"/>
  <c r="I71"/>
  <c r="J71"/>
  <c r="H72"/>
  <c r="I72"/>
  <c r="J72"/>
  <c r="H73"/>
  <c r="I73"/>
  <c r="J73"/>
  <c r="H74"/>
  <c r="I74"/>
  <c r="J74"/>
  <c r="H75"/>
  <c r="I75"/>
  <c r="J75"/>
  <c r="H76"/>
  <c r="I76"/>
  <c r="J76"/>
  <c r="H77"/>
  <c r="I77"/>
  <c r="J77"/>
  <c r="H78"/>
  <c r="I78"/>
  <c r="J78"/>
  <c r="H79"/>
  <c r="I79"/>
  <c r="J79"/>
  <c r="I80"/>
  <c r="J80"/>
  <c r="H81"/>
  <c r="I81"/>
  <c r="J81"/>
  <c r="H82"/>
  <c r="I82"/>
  <c r="J82"/>
  <c r="H83"/>
  <c r="I83"/>
  <c r="H84"/>
  <c r="I84"/>
  <c r="J84"/>
  <c r="J50"/>
  <c r="I50"/>
  <c r="H50"/>
  <c r="C51"/>
  <c r="D51"/>
  <c r="E51"/>
  <c r="C52"/>
  <c r="D52"/>
  <c r="E52"/>
  <c r="C53"/>
  <c r="D53"/>
  <c r="E53"/>
  <c r="C54"/>
  <c r="D54"/>
  <c r="E54"/>
  <c r="C55"/>
  <c r="D55"/>
  <c r="E55"/>
  <c r="C56"/>
  <c r="D56"/>
  <c r="E56"/>
  <c r="C57"/>
  <c r="D57"/>
  <c r="E57"/>
  <c r="C58"/>
  <c r="D58"/>
  <c r="E58"/>
  <c r="C59"/>
  <c r="D59"/>
  <c r="E59"/>
  <c r="C60"/>
  <c r="D60"/>
  <c r="E60"/>
  <c r="C61"/>
  <c r="D61"/>
  <c r="E61"/>
  <c r="C62"/>
  <c r="D62"/>
  <c r="E62"/>
  <c r="C63"/>
  <c r="D63"/>
  <c r="E63"/>
  <c r="C64"/>
  <c r="D64"/>
  <c r="E64"/>
  <c r="C65"/>
  <c r="D65"/>
  <c r="E65"/>
  <c r="C66"/>
  <c r="D66"/>
  <c r="E66"/>
  <c r="C67"/>
  <c r="D67"/>
  <c r="E67"/>
  <c r="C68"/>
  <c r="D68"/>
  <c r="E68"/>
  <c r="C69"/>
  <c r="D69"/>
  <c r="E69"/>
  <c r="C70"/>
  <c r="D70"/>
  <c r="E70"/>
  <c r="C71"/>
  <c r="D71"/>
  <c r="E71"/>
  <c r="C72"/>
  <c r="D72"/>
  <c r="E72"/>
  <c r="C73"/>
  <c r="D73"/>
  <c r="E73"/>
  <c r="C74"/>
  <c r="D74"/>
  <c r="E74"/>
  <c r="C75"/>
  <c r="D75"/>
  <c r="E75"/>
  <c r="C76"/>
  <c r="D76"/>
  <c r="E76"/>
  <c r="C77"/>
  <c r="D77"/>
  <c r="E77"/>
  <c r="C78"/>
  <c r="D78"/>
  <c r="E78"/>
  <c r="C79"/>
  <c r="D79"/>
  <c r="E79"/>
  <c r="D80"/>
  <c r="E80"/>
  <c r="C81"/>
  <c r="D81"/>
  <c r="E81"/>
  <c r="C82"/>
  <c r="D82"/>
  <c r="E82"/>
  <c r="C83"/>
  <c r="D83"/>
  <c r="C84"/>
  <c r="D84"/>
  <c r="E84"/>
  <c r="I40"/>
  <c r="J3" s="1"/>
  <c r="I39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30"/>
  <c r="J31"/>
  <c r="J32"/>
  <c r="J33"/>
  <c r="J34"/>
  <c r="J36"/>
  <c r="I41"/>
  <c r="I42"/>
  <c r="I43"/>
  <c r="I44"/>
  <c r="I45"/>
  <c r="I46"/>
  <c r="I47"/>
  <c r="H4"/>
  <c r="H3"/>
  <c r="H47"/>
  <c r="H46"/>
  <c r="H45"/>
  <c r="H44"/>
  <c r="H10" s="1"/>
  <c r="H43"/>
  <c r="H7" s="1"/>
  <c r="H42"/>
  <c r="H22" s="1"/>
  <c r="H41"/>
  <c r="H11" s="1"/>
  <c r="H40"/>
  <c r="H29" s="1"/>
  <c r="H39"/>
  <c r="H35"/>
  <c r="H28"/>
  <c r="H27"/>
  <c r="G6" i="4" l="1"/>
  <c r="C4"/>
  <c r="C6"/>
  <c r="D7"/>
  <c r="D9"/>
  <c r="G2" i="2"/>
  <c r="C80" i="1"/>
  <c r="H80"/>
  <c r="H120"/>
  <c r="C160"/>
  <c r="J83"/>
  <c r="I4" i="2"/>
  <c r="E123" i="1"/>
  <c r="E83"/>
  <c r="E3" i="2"/>
  <c r="G4"/>
  <c r="F4"/>
  <c r="D3"/>
  <c r="E4"/>
  <c r="C4"/>
  <c r="D4"/>
  <c r="C3"/>
  <c r="G3"/>
  <c r="F3"/>
  <c r="C2"/>
  <c r="J2" i="1"/>
  <c r="H20"/>
  <c r="H8"/>
  <c r="H13"/>
  <c r="H18"/>
  <c r="H25"/>
  <c r="H26"/>
  <c r="H33"/>
  <c r="I7"/>
  <c r="H5"/>
  <c r="H9"/>
  <c r="H12"/>
  <c r="H21"/>
  <c r="H24"/>
  <c r="H19"/>
  <c r="H31"/>
  <c r="I36"/>
  <c r="H2"/>
  <c r="H14"/>
  <c r="H6"/>
  <c r="H17"/>
  <c r="H23"/>
  <c r="H16"/>
  <c r="H30"/>
  <c r="H36"/>
  <c r="H15"/>
  <c r="D3" i="4" l="1"/>
  <c r="C3"/>
  <c r="E2" i="2"/>
  <c r="F2"/>
  <c r="I2"/>
  <c r="D2"/>
</calcChain>
</file>

<file path=xl/sharedStrings.xml><?xml version="1.0" encoding="utf-8"?>
<sst xmlns="http://schemas.openxmlformats.org/spreadsheetml/2006/main" count="573" uniqueCount="185">
  <si>
    <t>Class</t>
  </si>
  <si>
    <t>hull_damage</t>
  </si>
  <si>
    <t>energy_damage</t>
  </si>
  <si>
    <t>power_usage</t>
  </si>
  <si>
    <t>;fc_j_gun01, 2, 30.6 - 0 - 9.18</t>
  </si>
  <si>
    <t>;fc_lr_gun01, 1, 19.6 - 0 - 6.11</t>
  </si>
  <si>
    <t>;fc_ou_gun01, 1, 126.4 - 0 - 31.6</t>
  </si>
  <si>
    <t>;fc_ou_gun02, 5, 113.8 - 0 - 23.7</t>
  </si>
  <si>
    <t>;fc_c_gun01, 5, 121.2 - 0 - 24.24</t>
  </si>
  <si>
    <t>;fc_c_gun02, 5, 10.1 - 303 - 24.24</t>
  </si>
  <si>
    <t>;fc_or_gun01, 5, 40.4 - 0 - 12.62</t>
  </si>
  <si>
    <t>;fc_or_gun02, 5, 101 - 0 - 20.2</t>
  </si>
  <si>
    <t>;gd_gm_gun01, 6, 79.1 - 0 - 19.76</t>
  </si>
  <si>
    <t>;gd_im_gun01, 3, 49.8 - 0 - 14.94</t>
  </si>
  <si>
    <t>;gd_bh_gun01, 2, 20.4 - 0 - 7.65</t>
  </si>
  <si>
    <t>;gd_bh_gun02, 2, 49 - 0 - 15.3</t>
  </si>
  <si>
    <t>;fc_rh_gun01, 5, 53.9 - 0 - 16.83</t>
  </si>
  <si>
    <t>;fc_bd_gun01, 5, 40.4 - 0 - 12.62</t>
  </si>
  <si>
    <t>;fc_b_gun01, 6, 210.8 - 0 - 52.7</t>
  </si>
  <si>
    <t>;gd_z_gun01, 3, 41.5 - 0 - 12.45</t>
  </si>
  <si>
    <t>;fc_lh_gun01, 4, 79 - 0 - 23.7</t>
  </si>
  <si>
    <t>;fc_h_gun01, 6, 158.1 - 0 - 32.94</t>
  </si>
  <si>
    <t>;fc_m_gun01, 5, 101 - 0 - 20.2</t>
  </si>
  <si>
    <t>;fc_g_gun01, 3, 41.5 - 0 - 9.96</t>
  </si>
  <si>
    <t>;fc_u_gun01, 4, 79 - 0 - 15.8</t>
  </si>
  <si>
    <t>;fc_gc_gun01, 4, 52.7 - 0 - 15.8</t>
  </si>
  <si>
    <t>;fc_lwb_gun01, 5, 134.7 - 0 - 32.32</t>
  </si>
  <si>
    <t>;fc_fa_gun01, 4, 126.4 - 0 - 21.07</t>
  </si>
  <si>
    <t>;fc_x_gun01, 2, 73.4 - 0 - 15.3</t>
  </si>
  <si>
    <t>;li_gun01, 1, 16.3 - 0 -  5.09</t>
  </si>
  <si>
    <t>;li_gun02, 1, 97.8 - 0 - 20.38</t>
  </si>
  <si>
    <t>;br_gun01, 4, 79 - 0 - 23.7</t>
  </si>
  <si>
    <t>;br_gun02, 4, 94.8 - 0 - 23.7</t>
  </si>
  <si>
    <t>;ku_gun01, 5, 101 - 0 - 20.2</t>
  </si>
  <si>
    <t>;ku_gun02, 5, 50.5 - 0 - 15.15</t>
  </si>
  <si>
    <t>;rh_gun01, 6, 70.3 - 0 - 26.35</t>
  </si>
  <si>
    <t>;rh_gun02, 6, 316.2 - 0 - 65.88</t>
  </si>
  <si>
    <t>;co_gun01, 1, 14.7 - 0 - 4.58</t>
  </si>
  <si>
    <t>;co_gun02, 2, 4.6 - 153 - 9.18</t>
  </si>
  <si>
    <t>Vanilla guns - Name of 1st gun - New Balance</t>
  </si>
  <si>
    <t>Vanilla guns - Name of 1st gun - Van</t>
  </si>
  <si>
    <t>Coefficients:</t>
  </si>
  <si>
    <t>Relate one for prevoius</t>
  </si>
  <si>
    <t>Следующий относ-но предыдущего</t>
  </si>
  <si>
    <t>Multipliers</t>
  </si>
  <si>
    <t>Same as Hull dmg</t>
  </si>
  <si>
    <t>_mark02</t>
  </si>
  <si>
    <t>_mark03</t>
  </si>
  <si>
    <t>_mark04</t>
  </si>
  <si>
    <t>_mark05</t>
  </si>
  <si>
    <t>_mark06</t>
  </si>
  <si>
    <t>Name\Class:</t>
  </si>
  <si>
    <t>Hull Damage</t>
  </si>
  <si>
    <t>Shield Damage</t>
  </si>
  <si>
    <t>Energy usage</t>
  </si>
  <si>
    <t>rh_gun01</t>
  </si>
  <si>
    <t>Light</t>
  </si>
  <si>
    <t>Heavy</t>
  </si>
  <si>
    <t>Vheavy</t>
  </si>
  <si>
    <t>Armor:</t>
  </si>
  <si>
    <t>Freighter</t>
  </si>
  <si>
    <t>Cargo:</t>
  </si>
  <si>
    <t>Nano\Shield</t>
  </si>
  <si>
    <t>Lib</t>
  </si>
  <si>
    <t>Bret</t>
  </si>
  <si>
    <t>Kus</t>
  </si>
  <si>
    <t>Rh</t>
  </si>
  <si>
    <t>Bw</t>
  </si>
  <si>
    <t>Pir</t>
  </si>
  <si>
    <t>Cors</t>
  </si>
  <si>
    <t>Weapon max Class</t>
  </si>
  <si>
    <t>Civ</t>
  </si>
  <si>
    <t>Bhunter</t>
  </si>
  <si>
    <t xml:space="preserve">Armor Updates: </t>
  </si>
  <si>
    <t>Lvl6</t>
  </si>
  <si>
    <t>Order</t>
  </si>
  <si>
    <t>Nomads</t>
  </si>
  <si>
    <t>10 class</t>
  </si>
  <si>
    <t>special_gun01</t>
  </si>
  <si>
    <t>special_gun02</t>
  </si>
  <si>
    <t>special_gun03</t>
  </si>
  <si>
    <t>special_gun04</t>
  </si>
  <si>
    <t>special_gun05</t>
  </si>
  <si>
    <t>special_gun06</t>
  </si>
  <si>
    <t>special_gun07</t>
  </si>
  <si>
    <t>special_gun08</t>
  </si>
  <si>
    <t>special_gun09</t>
  </si>
  <si>
    <t>special_gun10</t>
  </si>
  <si>
    <t>special_gun11</t>
  </si>
  <si>
    <t>special_gun12</t>
  </si>
  <si>
    <t>special_gun13</t>
  </si>
  <si>
    <t>special_gun14</t>
  </si>
  <si>
    <t>special_gun15</t>
  </si>
  <si>
    <t>special_nomad_gun02</t>
  </si>
  <si>
    <t>special_nomad_gun01</t>
  </si>
  <si>
    <t>6 class</t>
  </si>
  <si>
    <t>3 class</t>
  </si>
  <si>
    <t>special_nomad_gun03</t>
  </si>
  <si>
    <t>Starlancer weapons</t>
  </si>
  <si>
    <t>star_gun_collapser</t>
  </si>
  <si>
    <t>star_gun_gatplas</t>
  </si>
  <si>
    <t>star_gun_gatlas</t>
  </si>
  <si>
    <t>star_gun_laser</t>
  </si>
  <si>
    <t>star_gun_mesbla</t>
  </si>
  <si>
    <t>star_gun_neupart</t>
  </si>
  <si>
    <t>star_gun_ion</t>
  </si>
  <si>
    <t>star_gun_proton</t>
  </si>
  <si>
    <t>star_gun_pulse</t>
  </si>
  <si>
    <t>star_gun_tachyon</t>
  </si>
  <si>
    <t>star_gun_vulcanbat</t>
  </si>
  <si>
    <t>Collapser guns</t>
  </si>
  <si>
    <t>Gatling plasma cannon</t>
  </si>
  <si>
    <t>Laser cannon</t>
  </si>
  <si>
    <t>Range</t>
  </si>
  <si>
    <t>Hull damage</t>
  </si>
  <si>
    <t>Speed</t>
  </si>
  <si>
    <t>Rounds\sec</t>
  </si>
  <si>
    <t xml:space="preserve">Power (per shot) </t>
  </si>
  <si>
    <t>Proton cannon</t>
  </si>
  <si>
    <t>Gattling lasers</t>
  </si>
  <si>
    <t>Neutron particle gun</t>
  </si>
  <si>
    <t>Meson blaster</t>
  </si>
  <si>
    <t>Tachyon cannon</t>
  </si>
  <si>
    <t>Vulcan battery</t>
  </si>
  <si>
    <t>Pulse cannon</t>
  </si>
  <si>
    <t>Nova cannon</t>
  </si>
  <si>
    <t>Adapted for Freelancer</t>
  </si>
  <si>
    <t>Coefficients</t>
  </si>
  <si>
    <t>lifetime</t>
  </si>
  <si>
    <t>refire_delay</t>
  </si>
  <si>
    <t>muzzle_velocity</t>
  </si>
  <si>
    <t>Flak gun</t>
  </si>
  <si>
    <t>Laser turret</t>
  </si>
  <si>
    <t>Main gun</t>
  </si>
  <si>
    <t>Star_CoalCapGun_01</t>
  </si>
  <si>
    <t>Star_CoalTur1_01</t>
  </si>
  <si>
    <t>Star_CoalTurBig_01</t>
  </si>
  <si>
    <t>Freelancer\Starlancer range</t>
  </si>
  <si>
    <t>capacity</t>
  </si>
  <si>
    <t>Power generators</t>
  </si>
  <si>
    <t>charge_rate</t>
  </si>
  <si>
    <t>Then:</t>
  </si>
  <si>
    <t>Now:</t>
  </si>
  <si>
    <t>Gunship</t>
  </si>
  <si>
    <t>Gunboat</t>
  </si>
  <si>
    <t>Destroyer</t>
  </si>
  <si>
    <t>Cruiser</t>
  </si>
  <si>
    <t>Battlecruiser</t>
  </si>
  <si>
    <t>Battleship (light)</t>
  </si>
  <si>
    <t xml:space="preserve">Dreadnouth </t>
  </si>
  <si>
    <t>Capital ships (van)</t>
  </si>
  <si>
    <t>Capital ships (new)</t>
  </si>
  <si>
    <t>Capital ships (Standard)</t>
  </si>
  <si>
    <t>Standard</t>
  </si>
  <si>
    <t>MSN_Armor</t>
  </si>
  <si>
    <t>Transport</t>
  </si>
  <si>
    <t>Large Transport</t>
  </si>
  <si>
    <t>Train</t>
  </si>
  <si>
    <t>Large Train</t>
  </si>
  <si>
    <t>Adv. Train</t>
  </si>
  <si>
    <t>Miner</t>
  </si>
  <si>
    <t>Liner</t>
  </si>
  <si>
    <t>Prison</t>
  </si>
  <si>
    <t>Repair</t>
  </si>
  <si>
    <t>Platform</t>
  </si>
  <si>
    <t>Arm. Transport</t>
  </si>
  <si>
    <t>gunboat_turret01</t>
  </si>
  <si>
    <t>gunboat_turret02</t>
  </si>
  <si>
    <t>destroyer_turret01</t>
  </si>
  <si>
    <t>destroyer_turret02</t>
  </si>
  <si>
    <t>destroyer_turret03</t>
  </si>
  <si>
    <t>destroyer_turret04</t>
  </si>
  <si>
    <t>Barrels:</t>
  </si>
  <si>
    <t xml:space="preserve">refire_delay = </t>
  </si>
  <si>
    <t>0.1</t>
  </si>
  <si>
    <t>0.5</t>
  </si>
  <si>
    <t>battleship_turret01</t>
  </si>
  <si>
    <t>battleship_turret02</t>
  </si>
  <si>
    <t>battleship_turret03</t>
  </si>
  <si>
    <t>battleship_turret04</t>
  </si>
  <si>
    <t xml:space="preserve">hull_damage = </t>
  </si>
  <si>
    <t>gunboat_gun01</t>
  </si>
  <si>
    <t>cruiser_gun01</t>
  </si>
  <si>
    <t>battleship_gun01</t>
  </si>
  <si>
    <t xml:space="preserve">lifetime = </t>
  </si>
</sst>
</file>

<file path=xl/styles.xml><?xml version="1.0" encoding="utf-8"?>
<styleSheet xmlns="http://schemas.openxmlformats.org/spreadsheetml/2006/main">
  <numFmts count="1">
    <numFmt numFmtId="43" formatCode="_-* #,##0.00\ _₽_-;\-* #,##0.00\ _₽_-;_-* &quot;-&quot;??\ _₽_-;_-@_-"/>
  </numFmts>
  <fonts count="9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5" borderId="2" applyNumberFormat="0" applyAlignment="0" applyProtection="0"/>
    <xf numFmtId="0" fontId="6" fillId="6" borderId="3" applyNumberFormat="0" applyAlignment="0" applyProtection="0"/>
    <xf numFmtId="0" fontId="7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2" fillId="3" borderId="0" xfId="2" applyNumberFormat="1" applyAlignment="1">
      <alignment horizontal="center" vertical="center"/>
    </xf>
    <xf numFmtId="2" fontId="2" fillId="3" borderId="0" xfId="2" applyNumberFormat="1" applyAlignment="1">
      <alignment horizontal="center" vertical="center"/>
    </xf>
    <xf numFmtId="0" fontId="4" fillId="5" borderId="1" xfId="4" applyAlignment="1">
      <alignment horizontal="center" vertical="center"/>
    </xf>
    <xf numFmtId="2" fontId="1" fillId="2" borderId="0" xfId="1" applyNumberFormat="1" applyAlignment="1">
      <alignment horizontal="center" vertical="center"/>
    </xf>
    <xf numFmtId="2" fontId="1" fillId="2" borderId="0" xfId="1" applyNumberFormat="1"/>
    <xf numFmtId="2" fontId="3" fillId="4" borderId="0" xfId="3" applyNumberFormat="1" applyAlignment="1">
      <alignment horizontal="center" vertical="center"/>
    </xf>
    <xf numFmtId="2" fontId="3" fillId="4" borderId="0" xfId="3" applyNumberFormat="1"/>
    <xf numFmtId="2" fontId="2" fillId="3" borderId="0" xfId="2" applyNumberFormat="1"/>
    <xf numFmtId="0" fontId="0" fillId="0" borderId="0" xfId="0" applyNumberFormat="1" applyFill="1" applyBorder="1" applyAlignment="1">
      <alignment horizontal="center" vertical="center"/>
    </xf>
    <xf numFmtId="0" fontId="1" fillId="2" borderId="0" xfId="1"/>
    <xf numFmtId="0" fontId="4" fillId="5" borderId="1" xfId="4"/>
    <xf numFmtId="0" fontId="5" fillId="5" borderId="2" xfId="5"/>
    <xf numFmtId="0" fontId="6" fillId="6" borderId="3" xfId="6"/>
    <xf numFmtId="0" fontId="0" fillId="0" borderId="0" xfId="0" applyNumberFormat="1"/>
    <xf numFmtId="0" fontId="0" fillId="0" borderId="0" xfId="0" applyNumberFormat="1" applyFill="1" applyBorder="1"/>
    <xf numFmtId="0" fontId="2" fillId="3" borderId="0" xfId="2"/>
    <xf numFmtId="2" fontId="0" fillId="0" borderId="0" xfId="0" applyNumberFormat="1" applyFill="1" applyBorder="1" applyAlignment="1">
      <alignment horizontal="center" vertical="center"/>
    </xf>
    <xf numFmtId="0" fontId="7" fillId="0" borderId="0" xfId="7"/>
    <xf numFmtId="0" fontId="0" fillId="0" borderId="0" xfId="0" applyAlignment="1">
      <alignment vertical="center"/>
    </xf>
    <xf numFmtId="0" fontId="1" fillId="2" borderId="0" xfId="1" applyAlignment="1">
      <alignment horizontal="center" vertical="center"/>
    </xf>
    <xf numFmtId="0" fontId="6" fillId="6" borderId="3" xfId="6" applyAlignment="1">
      <alignment horizontal="center" vertical="center"/>
    </xf>
    <xf numFmtId="43" fontId="0" fillId="0" borderId="0" xfId="8" applyFont="1" applyAlignment="1">
      <alignment horizontal="center" vertical="center"/>
    </xf>
    <xf numFmtId="0" fontId="2" fillId="3" borderId="0" xfId="2" applyAlignment="1">
      <alignment horizontal="center" vertical="center"/>
    </xf>
  </cellXfs>
  <cellStyles count="9">
    <cellStyle name="Вывод" xfId="4" builtinId="21"/>
    <cellStyle name="Вычисление" xfId="5" builtinId="22"/>
    <cellStyle name="Контрольная ячейка" xfId="6" builtinId="23"/>
    <cellStyle name="Нейтральный" xfId="3" builtinId="28"/>
    <cellStyle name="Обычный" xfId="0" builtinId="0"/>
    <cellStyle name="Плохой" xfId="2" builtinId="27"/>
    <cellStyle name="Пояснение" xfId="7" builtinId="53"/>
    <cellStyle name="Финансовый" xfId="8" builtinId="3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opLeftCell="C49" workbookViewId="0">
      <selection activeCell="L25" sqref="L25"/>
    </sheetView>
  </sheetViews>
  <sheetFormatPr defaultRowHeight="15"/>
  <cols>
    <col min="1" max="1" width="35.28515625" customWidth="1"/>
    <col min="2" max="2" width="9.140625" customWidth="1"/>
    <col min="3" max="3" width="14.42578125" customWidth="1"/>
    <col min="4" max="4" width="17.140625" customWidth="1"/>
    <col min="5" max="5" width="15" customWidth="1"/>
    <col min="7" max="7" width="41.7109375" customWidth="1"/>
    <col min="8" max="8" width="16" customWidth="1"/>
    <col min="9" max="9" width="16.28515625" customWidth="1"/>
    <col min="10" max="10" width="16" customWidth="1"/>
    <col min="11" max="11" width="16.42578125" customWidth="1"/>
    <col min="12" max="12" width="32.28515625" customWidth="1"/>
    <col min="13" max="13" width="25" customWidth="1"/>
    <col min="14" max="14" width="20.140625" customWidth="1"/>
    <col min="15" max="15" width="17.85546875" customWidth="1"/>
  </cols>
  <sheetData>
    <row r="1" spans="1:15">
      <c r="A1" t="s">
        <v>40</v>
      </c>
      <c r="B1" t="s">
        <v>0</v>
      </c>
      <c r="C1" t="s">
        <v>1</v>
      </c>
      <c r="D1" t="s">
        <v>2</v>
      </c>
      <c r="E1" t="s">
        <v>3</v>
      </c>
      <c r="G1" t="s">
        <v>39</v>
      </c>
      <c r="H1" s="1" t="s">
        <v>1</v>
      </c>
      <c r="I1" s="1" t="s">
        <v>2</v>
      </c>
      <c r="J1" s="1" t="s">
        <v>3</v>
      </c>
      <c r="L1" t="s">
        <v>77</v>
      </c>
      <c r="M1" s="1" t="s">
        <v>1</v>
      </c>
      <c r="N1" s="1" t="s">
        <v>2</v>
      </c>
      <c r="O1" s="1" t="s">
        <v>3</v>
      </c>
    </row>
    <row r="2" spans="1:15">
      <c r="A2" s="7" t="s">
        <v>4</v>
      </c>
      <c r="B2" s="2">
        <v>2</v>
      </c>
      <c r="C2" s="3">
        <v>30.6</v>
      </c>
      <c r="D2" s="3">
        <v>0</v>
      </c>
      <c r="E2" s="3">
        <v>9.18</v>
      </c>
      <c r="F2" s="13">
        <v>1</v>
      </c>
      <c r="G2" s="7" t="s">
        <v>4</v>
      </c>
      <c r="H2" s="3">
        <f>C2/H40</f>
        <v>20</v>
      </c>
      <c r="I2" s="3">
        <v>0</v>
      </c>
      <c r="J2" s="3">
        <f>E2/$I$40</f>
        <v>7.3439999999999994</v>
      </c>
      <c r="L2" s="7" t="s">
        <v>78</v>
      </c>
      <c r="M2" s="3">
        <v>1075.8</v>
      </c>
      <c r="N2" s="3">
        <v>0</v>
      </c>
      <c r="O2" s="3">
        <v>268.95</v>
      </c>
    </row>
    <row r="3" spans="1:15">
      <c r="A3" s="7" t="s">
        <v>5</v>
      </c>
      <c r="B3" s="5">
        <v>1</v>
      </c>
      <c r="C3" s="6">
        <v>19.600000000000001</v>
      </c>
      <c r="D3" s="6">
        <v>0</v>
      </c>
      <c r="E3" s="6">
        <v>6.11</v>
      </c>
      <c r="F3" s="13">
        <v>2</v>
      </c>
      <c r="G3" s="7" t="s">
        <v>5</v>
      </c>
      <c r="H3" s="6">
        <f>C3</f>
        <v>19.600000000000001</v>
      </c>
      <c r="I3" s="3">
        <v>0</v>
      </c>
      <c r="J3" s="3">
        <f t="shared" ref="J3:J36" si="0">E3/$I$40</f>
        <v>4.8879999999999999</v>
      </c>
      <c r="L3" s="7" t="s">
        <v>79</v>
      </c>
      <c r="M3" s="3">
        <v>880.2</v>
      </c>
      <c r="N3" s="3">
        <v>0</v>
      </c>
      <c r="O3" s="3">
        <v>220.05</v>
      </c>
    </row>
    <row r="4" spans="1:15">
      <c r="A4" s="7" t="s">
        <v>6</v>
      </c>
      <c r="B4" s="5">
        <v>1</v>
      </c>
      <c r="C4" s="6">
        <v>126.4</v>
      </c>
      <c r="D4" s="6">
        <v>0</v>
      </c>
      <c r="E4" s="6">
        <v>31.6</v>
      </c>
      <c r="F4" s="13">
        <v>3</v>
      </c>
      <c r="G4" s="7" t="s">
        <v>6</v>
      </c>
      <c r="H4" s="6">
        <f>C4</f>
        <v>126.4</v>
      </c>
      <c r="I4" s="3">
        <v>0</v>
      </c>
      <c r="J4" s="3">
        <f t="shared" si="0"/>
        <v>25.28</v>
      </c>
      <c r="L4" s="7" t="s">
        <v>80</v>
      </c>
      <c r="M4" s="3">
        <v>652</v>
      </c>
      <c r="N4" s="3">
        <v>0</v>
      </c>
      <c r="O4" s="3">
        <v>163</v>
      </c>
    </row>
    <row r="5" spans="1:15">
      <c r="A5" s="7" t="s">
        <v>7</v>
      </c>
      <c r="B5" s="2">
        <v>5</v>
      </c>
      <c r="C5" s="3">
        <v>113.8</v>
      </c>
      <c r="D5" s="3">
        <v>0</v>
      </c>
      <c r="E5" s="3">
        <v>23.7</v>
      </c>
      <c r="F5" s="13">
        <v>4</v>
      </c>
      <c r="G5" s="7" t="s">
        <v>7</v>
      </c>
      <c r="H5" s="3">
        <f>C5/$H$43</f>
        <v>37.592267695638149</v>
      </c>
      <c r="I5" s="3">
        <v>0</v>
      </c>
      <c r="J5" s="3">
        <f>E5/$I$43</f>
        <v>9.5912278207851429</v>
      </c>
      <c r="L5" s="7" t="s">
        <v>81</v>
      </c>
      <c r="M5" s="3">
        <v>1173.5999999999999</v>
      </c>
      <c r="N5" s="3">
        <v>0</v>
      </c>
      <c r="O5" s="3">
        <v>293.39999999999998</v>
      </c>
    </row>
    <row r="6" spans="1:15">
      <c r="A6" s="7" t="s">
        <v>8</v>
      </c>
      <c r="B6" s="2">
        <v>5</v>
      </c>
      <c r="C6" s="3">
        <v>121.2</v>
      </c>
      <c r="D6" s="3">
        <v>0</v>
      </c>
      <c r="E6" s="3">
        <v>24.24</v>
      </c>
      <c r="F6" s="13">
        <v>5</v>
      </c>
      <c r="G6" s="7" t="s">
        <v>8</v>
      </c>
      <c r="H6" s="3">
        <f t="shared" ref="H6:H20" si="1">C6/$H$43</f>
        <v>40.036756104669102</v>
      </c>
      <c r="I6" s="3">
        <v>0</v>
      </c>
      <c r="J6" s="3">
        <f t="shared" ref="J6:J9" si="2">E6/$I$43</f>
        <v>9.8097621255625249</v>
      </c>
      <c r="L6" s="7" t="s">
        <v>82</v>
      </c>
      <c r="M6" s="3">
        <v>880.2</v>
      </c>
      <c r="N6" s="3">
        <v>0</v>
      </c>
      <c r="O6" s="3">
        <v>220.05</v>
      </c>
    </row>
    <row r="7" spans="1:15">
      <c r="A7" s="7" t="s">
        <v>9</v>
      </c>
      <c r="B7" s="2">
        <v>5</v>
      </c>
      <c r="C7" s="3">
        <v>10.1</v>
      </c>
      <c r="D7" s="3">
        <v>303</v>
      </c>
      <c r="E7" s="3">
        <v>24.24</v>
      </c>
      <c r="F7" s="13">
        <v>6</v>
      </c>
      <c r="G7" s="7" t="s">
        <v>9</v>
      </c>
      <c r="H7" s="3">
        <f t="shared" si="1"/>
        <v>3.3363963420557585</v>
      </c>
      <c r="I7" s="3">
        <f>D7/H43</f>
        <v>100.09189026167276</v>
      </c>
      <c r="J7" s="3">
        <f t="shared" si="2"/>
        <v>9.8097621255625249</v>
      </c>
      <c r="L7" s="7" t="s">
        <v>83</v>
      </c>
      <c r="M7" s="3">
        <v>717.2</v>
      </c>
      <c r="N7" s="3">
        <v>0</v>
      </c>
      <c r="O7" s="3">
        <v>179.3</v>
      </c>
    </row>
    <row r="8" spans="1:15">
      <c r="A8" s="7" t="s">
        <v>10</v>
      </c>
      <c r="B8" s="2">
        <v>5</v>
      </c>
      <c r="C8" s="3">
        <v>40.4</v>
      </c>
      <c r="D8" s="3">
        <v>0</v>
      </c>
      <c r="E8" s="3">
        <v>12.62</v>
      </c>
      <c r="F8" s="13">
        <v>7</v>
      </c>
      <c r="G8" s="7" t="s">
        <v>10</v>
      </c>
      <c r="H8" s="3">
        <f t="shared" si="1"/>
        <v>13.345585368223034</v>
      </c>
      <c r="I8" s="3">
        <v>0</v>
      </c>
      <c r="J8" s="3">
        <f t="shared" si="2"/>
        <v>5.1072276412788398</v>
      </c>
      <c r="L8" s="7" t="s">
        <v>84</v>
      </c>
      <c r="M8" s="3">
        <v>782.4</v>
      </c>
      <c r="N8" s="3">
        <v>0</v>
      </c>
      <c r="O8" s="3">
        <v>195.6</v>
      </c>
    </row>
    <row r="9" spans="1:15">
      <c r="A9" s="7" t="s">
        <v>11</v>
      </c>
      <c r="B9" s="2">
        <v>5</v>
      </c>
      <c r="C9" s="3">
        <v>101</v>
      </c>
      <c r="D9" s="3">
        <v>0</v>
      </c>
      <c r="E9" s="3">
        <v>20.2</v>
      </c>
      <c r="F9" s="13">
        <v>8</v>
      </c>
      <c r="G9" s="7" t="s">
        <v>11</v>
      </c>
      <c r="H9" s="3">
        <f t="shared" si="1"/>
        <v>33.363963420557589</v>
      </c>
      <c r="I9" s="3">
        <v>0</v>
      </c>
      <c r="J9" s="3">
        <f t="shared" si="2"/>
        <v>8.1748017713021053</v>
      </c>
      <c r="L9" s="7" t="s">
        <v>85</v>
      </c>
      <c r="M9" s="3">
        <v>1075.8</v>
      </c>
      <c r="N9" s="3">
        <v>0</v>
      </c>
      <c r="O9" s="3">
        <v>244.5</v>
      </c>
    </row>
    <row r="10" spans="1:15">
      <c r="A10" s="7" t="s">
        <v>12</v>
      </c>
      <c r="B10" s="2">
        <v>6</v>
      </c>
      <c r="C10" s="3">
        <v>79.099999999999994</v>
      </c>
      <c r="D10" s="3">
        <v>0</v>
      </c>
      <c r="E10" s="3">
        <v>19.760000000000002</v>
      </c>
      <c r="F10" s="13">
        <v>9</v>
      </c>
      <c r="G10" s="7" t="s">
        <v>12</v>
      </c>
      <c r="H10" s="3">
        <f>C10/$H$44</f>
        <v>20.099691596086103</v>
      </c>
      <c r="I10" s="3">
        <v>0</v>
      </c>
      <c r="J10" s="3">
        <f>E10/$I$44</f>
        <v>6.1277676492139772</v>
      </c>
      <c r="L10" s="7" t="s">
        <v>86</v>
      </c>
      <c r="M10" s="3">
        <v>978</v>
      </c>
      <c r="N10" s="3">
        <v>0</v>
      </c>
      <c r="O10" s="3">
        <v>268.95</v>
      </c>
    </row>
    <row r="11" spans="1:15">
      <c r="A11" s="7" t="s">
        <v>13</v>
      </c>
      <c r="B11" s="2">
        <v>3</v>
      </c>
      <c r="C11" s="3">
        <v>49.8</v>
      </c>
      <c r="D11" s="3">
        <v>0</v>
      </c>
      <c r="E11" s="3">
        <v>14.94</v>
      </c>
      <c r="F11" s="13">
        <v>10</v>
      </c>
      <c r="G11" s="7" t="s">
        <v>13</v>
      </c>
      <c r="H11" s="3">
        <f>C11/$H$41</f>
        <v>26.679524268723881</v>
      </c>
      <c r="I11" s="3">
        <v>0</v>
      </c>
      <c r="J11" s="3">
        <f>E11/$I$41</f>
        <v>9.8047579983593103</v>
      </c>
      <c r="L11" s="7" t="s">
        <v>87</v>
      </c>
      <c r="M11" s="3">
        <v>1075.8</v>
      </c>
      <c r="N11" s="3">
        <v>0</v>
      </c>
      <c r="O11" s="3">
        <v>220.05</v>
      </c>
    </row>
    <row r="12" spans="1:15">
      <c r="A12" s="7" t="s">
        <v>14</v>
      </c>
      <c r="B12" s="2">
        <v>2</v>
      </c>
      <c r="C12" s="3">
        <v>20.399999999999999</v>
      </c>
      <c r="D12" s="3">
        <v>0</v>
      </c>
      <c r="E12" s="3">
        <v>7.65</v>
      </c>
      <c r="F12" s="13">
        <v>11</v>
      </c>
      <c r="G12" s="7" t="s">
        <v>14</v>
      </c>
      <c r="H12" s="3">
        <f>C12/$H$40</f>
        <v>13.333333333333332</v>
      </c>
      <c r="I12" s="3">
        <v>0</v>
      </c>
      <c r="J12" s="3">
        <f t="shared" si="0"/>
        <v>6.12</v>
      </c>
      <c r="L12" s="7" t="s">
        <v>88</v>
      </c>
      <c r="M12" s="3">
        <v>880.2</v>
      </c>
      <c r="N12" s="3">
        <v>0</v>
      </c>
      <c r="O12" s="3">
        <v>244.5</v>
      </c>
    </row>
    <row r="13" spans="1:15">
      <c r="A13" s="7" t="s">
        <v>15</v>
      </c>
      <c r="B13" s="2">
        <v>2</v>
      </c>
      <c r="C13" s="3">
        <v>49</v>
      </c>
      <c r="D13" s="3">
        <v>0</v>
      </c>
      <c r="E13" s="3">
        <v>15.3</v>
      </c>
      <c r="F13" s="13">
        <v>12</v>
      </c>
      <c r="G13" s="7" t="s">
        <v>15</v>
      </c>
      <c r="H13" s="3">
        <f>C13/$H$40</f>
        <v>32.026143790849673</v>
      </c>
      <c r="I13" s="3">
        <v>0</v>
      </c>
      <c r="J13" s="3">
        <f>E13/$I$40</f>
        <v>12.24</v>
      </c>
      <c r="L13" s="7" t="s">
        <v>89</v>
      </c>
      <c r="M13" s="3">
        <v>586.79999999999995</v>
      </c>
      <c r="N13" s="3">
        <v>0</v>
      </c>
      <c r="O13" s="3">
        <v>146.69999999999999</v>
      </c>
    </row>
    <row r="14" spans="1:15">
      <c r="A14" s="7" t="s">
        <v>16</v>
      </c>
      <c r="B14" s="2">
        <v>5</v>
      </c>
      <c r="C14" s="3">
        <v>53.9</v>
      </c>
      <c r="D14" s="3">
        <v>0</v>
      </c>
      <c r="E14" s="3">
        <v>16.829999999999998</v>
      </c>
      <c r="F14" s="13">
        <v>13</v>
      </c>
      <c r="G14" s="7" t="s">
        <v>16</v>
      </c>
      <c r="H14" s="3">
        <f t="shared" si="1"/>
        <v>17.805125033347068</v>
      </c>
      <c r="I14" s="3">
        <v>0</v>
      </c>
      <c r="J14" s="3">
        <f t="shared" si="0"/>
        <v>13.463999999999999</v>
      </c>
      <c r="L14" s="7" t="s">
        <v>90</v>
      </c>
      <c r="M14" s="3">
        <v>1075.8</v>
      </c>
      <c r="N14" s="3">
        <v>0</v>
      </c>
      <c r="O14" s="3">
        <v>268.95</v>
      </c>
    </row>
    <row r="15" spans="1:15">
      <c r="A15" s="7" t="s">
        <v>17</v>
      </c>
      <c r="B15" s="2">
        <v>5</v>
      </c>
      <c r="C15" s="3">
        <v>40.4</v>
      </c>
      <c r="D15" s="3">
        <v>0</v>
      </c>
      <c r="E15" s="3">
        <v>12.62</v>
      </c>
      <c r="F15" s="13">
        <v>14</v>
      </c>
      <c r="G15" s="7" t="s">
        <v>17</v>
      </c>
      <c r="H15" s="3">
        <f t="shared" si="1"/>
        <v>13.345585368223034</v>
      </c>
      <c r="I15" s="3">
        <v>0</v>
      </c>
      <c r="J15" s="3">
        <f>E15/$I$43</f>
        <v>5.1072276412788398</v>
      </c>
      <c r="L15" s="7" t="s">
        <v>91</v>
      </c>
      <c r="M15" s="3">
        <v>1173.5999999999999</v>
      </c>
      <c r="N15" s="3">
        <v>0</v>
      </c>
      <c r="O15" s="3">
        <v>293.39999999999998</v>
      </c>
    </row>
    <row r="16" spans="1:15">
      <c r="A16" s="7" t="s">
        <v>18</v>
      </c>
      <c r="B16" s="2">
        <v>6</v>
      </c>
      <c r="C16" s="3">
        <v>210.8</v>
      </c>
      <c r="D16" s="3">
        <v>0</v>
      </c>
      <c r="E16" s="3">
        <v>52.7</v>
      </c>
      <c r="F16" s="13">
        <v>15</v>
      </c>
      <c r="G16" s="7" t="s">
        <v>18</v>
      </c>
      <c r="H16" s="3">
        <f>C16/$H$45</f>
        <v>40.579770413888731</v>
      </c>
      <c r="I16" s="3">
        <v>0</v>
      </c>
      <c r="J16" s="3">
        <f>E16/$I$44</f>
        <v>16.342781129229582</v>
      </c>
      <c r="L16" s="7" t="s">
        <v>92</v>
      </c>
      <c r="M16" s="3">
        <v>978</v>
      </c>
      <c r="N16" s="3">
        <v>0</v>
      </c>
      <c r="O16" s="3">
        <v>268.95</v>
      </c>
    </row>
    <row r="17" spans="1:16">
      <c r="A17" s="7" t="s">
        <v>19</v>
      </c>
      <c r="B17" s="2">
        <v>3</v>
      </c>
      <c r="C17" s="3">
        <v>41.5</v>
      </c>
      <c r="D17" s="3">
        <v>0</v>
      </c>
      <c r="E17" s="3">
        <v>12.45</v>
      </c>
      <c r="F17" s="13">
        <v>16</v>
      </c>
      <c r="G17" s="7" t="s">
        <v>19</v>
      </c>
      <c r="H17" s="3">
        <f>C17/$H$41</f>
        <v>22.232936890603234</v>
      </c>
      <c r="I17" s="3">
        <v>0</v>
      </c>
      <c r="J17" s="3">
        <f>E17/$I$41</f>
        <v>8.1706316652994246</v>
      </c>
      <c r="M17" s="3"/>
      <c r="N17" s="3"/>
      <c r="O17" s="3"/>
    </row>
    <row r="18" spans="1:16">
      <c r="A18" s="7" t="s">
        <v>20</v>
      </c>
      <c r="B18" s="2">
        <v>4</v>
      </c>
      <c r="C18" s="3">
        <v>79</v>
      </c>
      <c r="D18" s="3">
        <v>0</v>
      </c>
      <c r="E18" s="3">
        <v>23.7</v>
      </c>
      <c r="F18" s="13">
        <v>17</v>
      </c>
      <c r="G18" s="7" t="s">
        <v>20</v>
      </c>
      <c r="H18" s="3">
        <f>C18/$H$42</f>
        <v>33.351410642240943</v>
      </c>
      <c r="I18" s="3">
        <v>0</v>
      </c>
      <c r="J18" s="3">
        <f>E18/$I$42</f>
        <v>12.247997927142627</v>
      </c>
      <c r="L18" s="7" t="s">
        <v>94</v>
      </c>
      <c r="M18" s="21">
        <v>847.6</v>
      </c>
      <c r="N18" s="3">
        <v>0</v>
      </c>
      <c r="O18" s="3">
        <v>0</v>
      </c>
    </row>
    <row r="19" spans="1:16">
      <c r="A19" s="7" t="s">
        <v>21</v>
      </c>
      <c r="B19" s="2">
        <v>6</v>
      </c>
      <c r="C19" s="3">
        <v>158.1</v>
      </c>
      <c r="D19" s="3">
        <v>0</v>
      </c>
      <c r="E19" s="3">
        <v>32.94</v>
      </c>
      <c r="F19" s="13">
        <v>18</v>
      </c>
      <c r="G19" s="7" t="s">
        <v>21</v>
      </c>
      <c r="H19" s="3">
        <f>C19/$H$45</f>
        <v>30.434827810416543</v>
      </c>
      <c r="I19" s="3">
        <v>0</v>
      </c>
      <c r="J19" s="3">
        <f>E19/$I$44</f>
        <v>10.215013480015605</v>
      </c>
      <c r="L19" s="7" t="s">
        <v>93</v>
      </c>
      <c r="M19" s="3">
        <v>302</v>
      </c>
      <c r="N19" s="3">
        <v>0</v>
      </c>
      <c r="O19" s="3">
        <v>0</v>
      </c>
    </row>
    <row r="20" spans="1:16">
      <c r="A20" s="7" t="s">
        <v>22</v>
      </c>
      <c r="B20" s="2">
        <v>5</v>
      </c>
      <c r="C20" s="3">
        <v>101</v>
      </c>
      <c r="D20" s="3">
        <v>0</v>
      </c>
      <c r="E20" s="3">
        <v>20.2</v>
      </c>
      <c r="F20" s="13">
        <v>19</v>
      </c>
      <c r="G20" s="7" t="s">
        <v>22</v>
      </c>
      <c r="H20" s="3">
        <f t="shared" si="1"/>
        <v>33.363963420557589</v>
      </c>
      <c r="I20" s="3">
        <v>0</v>
      </c>
      <c r="J20" s="3">
        <f>E20/$I$43</f>
        <v>8.1748017713021053</v>
      </c>
      <c r="N20" s="3"/>
    </row>
    <row r="21" spans="1:16">
      <c r="A21" s="7" t="s">
        <v>23</v>
      </c>
      <c r="B21" s="2">
        <v>3</v>
      </c>
      <c r="C21" s="3">
        <v>41.5</v>
      </c>
      <c r="D21" s="3">
        <v>0</v>
      </c>
      <c r="E21" s="3">
        <v>9.9600000000000009</v>
      </c>
      <c r="F21" s="13">
        <v>20</v>
      </c>
      <c r="G21" s="7" t="s">
        <v>23</v>
      </c>
      <c r="H21" s="3">
        <f>C21/$H$41</f>
        <v>22.232936890603234</v>
      </c>
      <c r="I21" s="3">
        <v>0</v>
      </c>
      <c r="J21" s="3">
        <f t="shared" si="0"/>
        <v>7.9680000000000009</v>
      </c>
      <c r="N21" s="3"/>
    </row>
    <row r="22" spans="1:16">
      <c r="A22" s="7" t="s">
        <v>24</v>
      </c>
      <c r="B22" s="2">
        <v>4</v>
      </c>
      <c r="C22" s="3">
        <v>79</v>
      </c>
      <c r="D22" s="3">
        <v>0</v>
      </c>
      <c r="E22" s="3">
        <v>15.8</v>
      </c>
      <c r="F22" s="13">
        <v>21</v>
      </c>
      <c r="G22" s="7" t="s">
        <v>24</v>
      </c>
      <c r="H22" s="3">
        <f>C22/$H$42</f>
        <v>33.351410642240943</v>
      </c>
      <c r="I22" s="3">
        <v>0</v>
      </c>
      <c r="J22" s="3">
        <f>E22/$I$42</f>
        <v>8.1653319514284188</v>
      </c>
    </row>
    <row r="23" spans="1:16">
      <c r="A23" s="7" t="s">
        <v>25</v>
      </c>
      <c r="B23" s="2">
        <v>4</v>
      </c>
      <c r="C23" s="3">
        <v>52.7</v>
      </c>
      <c r="D23" s="3">
        <v>0</v>
      </c>
      <c r="E23" s="3">
        <v>15.8</v>
      </c>
      <c r="F23" s="13">
        <v>22</v>
      </c>
      <c r="G23" s="7" t="s">
        <v>25</v>
      </c>
      <c r="H23" s="3">
        <f>C23/$H$42</f>
        <v>22.248346086659467</v>
      </c>
      <c r="I23" s="3">
        <v>0</v>
      </c>
      <c r="J23" s="3">
        <f>E23/$I$42</f>
        <v>8.1653319514284188</v>
      </c>
    </row>
    <row r="24" spans="1:16">
      <c r="A24" s="7" t="s">
        <v>26</v>
      </c>
      <c r="B24" s="2">
        <v>5</v>
      </c>
      <c r="C24" s="3">
        <v>134.69999999999999</v>
      </c>
      <c r="D24" s="3">
        <v>0</v>
      </c>
      <c r="E24" s="3">
        <v>32.32</v>
      </c>
      <c r="F24" s="13">
        <v>23</v>
      </c>
      <c r="G24" s="7" t="s">
        <v>26</v>
      </c>
      <c r="H24" s="3">
        <f>C24/$H$43</f>
        <v>44.496295769793136</v>
      </c>
      <c r="I24" s="3">
        <v>0</v>
      </c>
      <c r="J24" s="3">
        <f>E24/$I$43</f>
        <v>13.079682834083368</v>
      </c>
      <c r="L24" t="s">
        <v>95</v>
      </c>
      <c r="M24" s="1" t="s">
        <v>1</v>
      </c>
      <c r="N24" s="1" t="s">
        <v>2</v>
      </c>
      <c r="O24" s="1" t="s">
        <v>3</v>
      </c>
    </row>
    <row r="25" spans="1:16">
      <c r="A25" s="7" t="s">
        <v>27</v>
      </c>
      <c r="B25" s="2">
        <v>4</v>
      </c>
      <c r="C25" s="3">
        <v>126.4</v>
      </c>
      <c r="D25" s="3">
        <v>0</v>
      </c>
      <c r="E25" s="3">
        <v>21.07</v>
      </c>
      <c r="F25" s="13">
        <v>24</v>
      </c>
      <c r="G25" s="7" t="s">
        <v>27</v>
      </c>
      <c r="H25" s="3">
        <f>C25/$H$42</f>
        <v>53.362257027585507</v>
      </c>
      <c r="I25" s="3">
        <v>0</v>
      </c>
      <c r="J25" s="3">
        <f>E25/$I$42</f>
        <v>10.888831912442834</v>
      </c>
      <c r="L25" s="7" t="s">
        <v>78</v>
      </c>
      <c r="M25" s="3">
        <f>M2*($H$44/$H$48)</f>
        <v>282.24572366596311</v>
      </c>
      <c r="N25" s="3">
        <f t="shared" ref="N25:O25" si="3">N2*($H$44/$H$48)</f>
        <v>0</v>
      </c>
      <c r="O25" s="3">
        <f t="shared" si="3"/>
        <v>70.561430916490778</v>
      </c>
      <c r="P25">
        <v>1</v>
      </c>
    </row>
    <row r="26" spans="1:16">
      <c r="A26" s="7" t="s">
        <v>28</v>
      </c>
      <c r="B26" s="2">
        <v>2</v>
      </c>
      <c r="C26" s="3">
        <v>73.400000000000006</v>
      </c>
      <c r="D26" s="3">
        <v>0</v>
      </c>
      <c r="E26" s="3">
        <v>15.3</v>
      </c>
      <c r="F26" s="13">
        <v>25</v>
      </c>
      <c r="G26" s="7" t="s">
        <v>28</v>
      </c>
      <c r="H26" s="3">
        <f>C26/$H$43</f>
        <v>24.246682327415119</v>
      </c>
      <c r="I26" s="3">
        <v>0</v>
      </c>
      <c r="J26" s="3">
        <f t="shared" si="0"/>
        <v>12.24</v>
      </c>
      <c r="L26" s="7" t="s">
        <v>79</v>
      </c>
      <c r="M26" s="3">
        <f t="shared" ref="M26:O26" si="4">M3*($H$44/$H$48)</f>
        <v>230.92831936306075</v>
      </c>
      <c r="N26" s="3">
        <f t="shared" si="4"/>
        <v>0</v>
      </c>
      <c r="O26" s="3">
        <f t="shared" si="4"/>
        <v>57.732079840765188</v>
      </c>
      <c r="P26">
        <v>2</v>
      </c>
    </row>
    <row r="27" spans="1:16">
      <c r="A27" s="7" t="s">
        <v>29</v>
      </c>
      <c r="B27" s="5">
        <v>1</v>
      </c>
      <c r="C27" s="6">
        <v>16.3</v>
      </c>
      <c r="D27" s="6">
        <v>0</v>
      </c>
      <c r="E27" s="6">
        <v>5.09</v>
      </c>
      <c r="F27" s="13">
        <v>26</v>
      </c>
      <c r="G27" s="7" t="s">
        <v>29</v>
      </c>
      <c r="H27" s="6">
        <f>C27</f>
        <v>16.3</v>
      </c>
      <c r="I27" s="3">
        <v>0</v>
      </c>
      <c r="J27" s="3">
        <f>E27/$I$39</f>
        <v>5.09</v>
      </c>
      <c r="L27" s="7" t="s">
        <v>80</v>
      </c>
      <c r="M27" s="3">
        <f t="shared" ref="M27:O27" si="5">M4*($H$44/$H$48)</f>
        <v>171.05801434300795</v>
      </c>
      <c r="N27" s="3">
        <f t="shared" si="5"/>
        <v>0</v>
      </c>
      <c r="O27" s="3">
        <f t="shared" si="5"/>
        <v>42.764503585751989</v>
      </c>
      <c r="P27">
        <v>3</v>
      </c>
    </row>
    <row r="28" spans="1:16">
      <c r="A28" s="7" t="s">
        <v>30</v>
      </c>
      <c r="B28" s="5">
        <v>1</v>
      </c>
      <c r="C28" s="6">
        <v>97.8</v>
      </c>
      <c r="D28" s="6">
        <v>0</v>
      </c>
      <c r="E28" s="6">
        <v>20.38</v>
      </c>
      <c r="F28" s="13">
        <v>27</v>
      </c>
      <c r="G28" s="7" t="s">
        <v>30</v>
      </c>
      <c r="H28" s="6">
        <f>C28</f>
        <v>97.8</v>
      </c>
      <c r="I28" s="3">
        <v>0</v>
      </c>
      <c r="J28" s="3">
        <f>E28/$I$39</f>
        <v>20.38</v>
      </c>
      <c r="L28" s="7" t="s">
        <v>81</v>
      </c>
      <c r="M28" s="3">
        <f t="shared" ref="M28:O28" si="6">M5*($H$44/$H$48)</f>
        <v>307.90442581741428</v>
      </c>
      <c r="N28" s="3">
        <f t="shared" si="6"/>
        <v>0</v>
      </c>
      <c r="O28" s="3">
        <f t="shared" si="6"/>
        <v>76.97610645435357</v>
      </c>
      <c r="P28">
        <v>4</v>
      </c>
    </row>
    <row r="29" spans="1:16">
      <c r="A29" s="7" t="s">
        <v>31</v>
      </c>
      <c r="B29" s="2">
        <v>4</v>
      </c>
      <c r="C29" s="3">
        <v>79</v>
      </c>
      <c r="D29" s="3">
        <v>0</v>
      </c>
      <c r="E29" s="3">
        <v>23.7</v>
      </c>
      <c r="F29" s="13">
        <v>28</v>
      </c>
      <c r="G29" s="7" t="s">
        <v>31</v>
      </c>
      <c r="H29" s="3">
        <f>C29/$H$40</f>
        <v>51.633986928104576</v>
      </c>
      <c r="I29" s="3">
        <v>0</v>
      </c>
      <c r="J29" s="3">
        <f>E29/$I$42</f>
        <v>12.247997927142627</v>
      </c>
      <c r="L29" s="7" t="s">
        <v>82</v>
      </c>
      <c r="M29" s="3">
        <f t="shared" ref="M29:O29" si="7">M6*($H$44/$H$48)</f>
        <v>230.92831936306075</v>
      </c>
      <c r="N29" s="3">
        <f t="shared" si="7"/>
        <v>0</v>
      </c>
      <c r="O29" s="3">
        <f t="shared" si="7"/>
        <v>57.732079840765188</v>
      </c>
      <c r="P29">
        <v>5</v>
      </c>
    </row>
    <row r="30" spans="1:16">
      <c r="A30" s="7" t="s">
        <v>32</v>
      </c>
      <c r="B30" s="2">
        <v>4</v>
      </c>
      <c r="C30" s="3">
        <v>94.8</v>
      </c>
      <c r="D30" s="3">
        <v>0</v>
      </c>
      <c r="E30" s="3">
        <v>23.7</v>
      </c>
      <c r="F30" s="13">
        <v>29</v>
      </c>
      <c r="G30" s="7" t="s">
        <v>32</v>
      </c>
      <c r="H30" s="3">
        <f>C30/$H$40</f>
        <v>61.96078431372549</v>
      </c>
      <c r="I30" s="3">
        <v>0</v>
      </c>
      <c r="J30" s="3">
        <f>E30/$I$42</f>
        <v>12.247997927142627</v>
      </c>
      <c r="L30" s="7" t="s">
        <v>83</v>
      </c>
      <c r="M30" s="3">
        <f t="shared" ref="M30:O30" si="8">M7*($H$44/$H$48)</f>
        <v>188.16381577730877</v>
      </c>
      <c r="N30" s="3">
        <f t="shared" si="8"/>
        <v>0</v>
      </c>
      <c r="O30" s="3">
        <f t="shared" si="8"/>
        <v>47.040953944327192</v>
      </c>
      <c r="P30">
        <v>6</v>
      </c>
    </row>
    <row r="31" spans="1:16">
      <c r="A31" s="7" t="s">
        <v>33</v>
      </c>
      <c r="B31" s="2">
        <v>5</v>
      </c>
      <c r="C31" s="3">
        <v>101</v>
      </c>
      <c r="D31" s="3">
        <v>0</v>
      </c>
      <c r="E31" s="3">
        <v>20.2</v>
      </c>
      <c r="F31" s="13">
        <v>30</v>
      </c>
      <c r="G31" s="7" t="s">
        <v>33</v>
      </c>
      <c r="H31" s="3">
        <f>C31/$H$40</f>
        <v>66.013071895424829</v>
      </c>
      <c r="I31" s="3">
        <v>0</v>
      </c>
      <c r="J31" s="3">
        <f>E31/$I$43</f>
        <v>8.1748017713021053</v>
      </c>
      <c r="L31" s="7" t="s">
        <v>84</v>
      </c>
      <c r="M31" s="3">
        <f t="shared" ref="M31:O31" si="9">M8*($H$44/$H$48)</f>
        <v>205.26961721160956</v>
      </c>
      <c r="N31" s="3">
        <f t="shared" si="9"/>
        <v>0</v>
      </c>
      <c r="O31" s="3">
        <f t="shared" si="9"/>
        <v>51.317404302902389</v>
      </c>
      <c r="P31">
        <v>7</v>
      </c>
    </row>
    <row r="32" spans="1:16">
      <c r="A32" s="7" t="s">
        <v>34</v>
      </c>
      <c r="B32" s="2">
        <v>5</v>
      </c>
      <c r="C32" s="3">
        <v>50.5</v>
      </c>
      <c r="D32" s="3">
        <v>0</v>
      </c>
      <c r="E32" s="3">
        <v>15.15</v>
      </c>
      <c r="F32" s="13">
        <v>31</v>
      </c>
      <c r="G32" s="7" t="s">
        <v>34</v>
      </c>
      <c r="H32" s="3">
        <f>C32/$H$43</f>
        <v>16.681981710278794</v>
      </c>
      <c r="I32" s="3">
        <v>0</v>
      </c>
      <c r="J32" s="3">
        <f>E32/$I$43</f>
        <v>6.1311013284765794</v>
      </c>
      <c r="L32" s="7" t="s">
        <v>85</v>
      </c>
      <c r="M32" s="3">
        <f t="shared" ref="M32:O32" si="10">M9*($H$44/$H$48)</f>
        <v>282.24572366596311</v>
      </c>
      <c r="N32" s="3">
        <f t="shared" si="10"/>
        <v>0</v>
      </c>
      <c r="O32" s="3">
        <f t="shared" si="10"/>
        <v>64.146755378627986</v>
      </c>
      <c r="P32">
        <v>8</v>
      </c>
    </row>
    <row r="33" spans="1:16">
      <c r="A33" s="7" t="s">
        <v>35</v>
      </c>
      <c r="B33" s="2">
        <v>6</v>
      </c>
      <c r="C33" s="3">
        <v>70.3</v>
      </c>
      <c r="D33" s="3">
        <v>0</v>
      </c>
      <c r="E33" s="3">
        <v>26.35</v>
      </c>
      <c r="F33" s="13">
        <v>32</v>
      </c>
      <c r="G33" s="7" t="s">
        <v>35</v>
      </c>
      <c r="H33" s="3">
        <f>C33/$H$45</f>
        <v>13.533006926453403</v>
      </c>
      <c r="I33" s="3">
        <v>0</v>
      </c>
      <c r="J33" s="3">
        <f>E33/$I$44</f>
        <v>8.1713905646147911</v>
      </c>
      <c r="L33" s="7" t="s">
        <v>86</v>
      </c>
      <c r="M33" s="3">
        <f t="shared" ref="M33:O33" si="11">M10*($H$44/$H$48)</f>
        <v>256.58702151451195</v>
      </c>
      <c r="N33" s="3">
        <f t="shared" si="11"/>
        <v>0</v>
      </c>
      <c r="O33" s="3">
        <f t="shared" si="11"/>
        <v>70.561430916490778</v>
      </c>
      <c r="P33">
        <v>9</v>
      </c>
    </row>
    <row r="34" spans="1:16">
      <c r="A34" s="7" t="s">
        <v>36</v>
      </c>
      <c r="B34" s="2">
        <v>6</v>
      </c>
      <c r="C34" s="3">
        <v>316.2</v>
      </c>
      <c r="D34" s="3">
        <v>0</v>
      </c>
      <c r="E34" s="3">
        <v>65.88</v>
      </c>
      <c r="F34" s="13">
        <v>33</v>
      </c>
      <c r="G34" s="7" t="s">
        <v>36</v>
      </c>
      <c r="H34" s="3">
        <f>C34/$H$45</f>
        <v>60.869655620833086</v>
      </c>
      <c r="I34" s="3">
        <v>0</v>
      </c>
      <c r="J34" s="3">
        <f>E34/$I$44</f>
        <v>20.43002696003121</v>
      </c>
      <c r="L34" s="7" t="s">
        <v>87</v>
      </c>
      <c r="M34" s="3">
        <f t="shared" ref="M34:O34" si="12">M11*($H$44/$H$48)</f>
        <v>282.24572366596311</v>
      </c>
      <c r="N34" s="3">
        <f t="shared" si="12"/>
        <v>0</v>
      </c>
      <c r="O34" s="3">
        <f t="shared" si="12"/>
        <v>57.732079840765188</v>
      </c>
      <c r="P34">
        <v>10</v>
      </c>
    </row>
    <row r="35" spans="1:16">
      <c r="A35" s="7" t="s">
        <v>37</v>
      </c>
      <c r="B35" s="5">
        <v>1</v>
      </c>
      <c r="C35" s="6">
        <v>14.7</v>
      </c>
      <c r="D35" s="6">
        <v>0</v>
      </c>
      <c r="E35" s="6">
        <v>4.58</v>
      </c>
      <c r="F35" s="13">
        <v>34</v>
      </c>
      <c r="G35" s="7" t="s">
        <v>37</v>
      </c>
      <c r="H35" s="6">
        <f>C35</f>
        <v>14.7</v>
      </c>
      <c r="I35" s="3">
        <v>0</v>
      </c>
      <c r="J35" s="3">
        <f>E35/$I$39</f>
        <v>4.58</v>
      </c>
      <c r="L35" s="7" t="s">
        <v>88</v>
      </c>
      <c r="M35" s="3">
        <f t="shared" ref="M35:O35" si="13">M12*($H$44/$H$48)</f>
        <v>230.92831936306075</v>
      </c>
      <c r="N35" s="3">
        <f t="shared" si="13"/>
        <v>0</v>
      </c>
      <c r="O35" s="3">
        <f t="shared" si="13"/>
        <v>64.146755378627986</v>
      </c>
      <c r="P35">
        <v>11</v>
      </c>
    </row>
    <row r="36" spans="1:16">
      <c r="A36" s="7" t="s">
        <v>38</v>
      </c>
      <c r="B36" s="2">
        <v>2</v>
      </c>
      <c r="C36" s="3">
        <v>14.7</v>
      </c>
      <c r="D36" s="3">
        <v>153</v>
      </c>
      <c r="E36" s="3">
        <v>9.18</v>
      </c>
      <c r="F36" s="13">
        <v>35</v>
      </c>
      <c r="G36" s="7" t="s">
        <v>38</v>
      </c>
      <c r="H36" s="3">
        <f>C36/$H$40</f>
        <v>9.6078431372549016</v>
      </c>
      <c r="I36" s="3">
        <f>D36/H40</f>
        <v>100</v>
      </c>
      <c r="J36" s="3">
        <f t="shared" si="0"/>
        <v>7.3439999999999994</v>
      </c>
      <c r="L36" s="7" t="s">
        <v>89</v>
      </c>
      <c r="M36" s="3">
        <f t="shared" ref="M36:O36" si="14">M13*($H$44/$H$48)</f>
        <v>153.95221290870714</v>
      </c>
      <c r="N36" s="3">
        <f t="shared" si="14"/>
        <v>0</v>
      </c>
      <c r="O36" s="3">
        <f t="shared" si="14"/>
        <v>38.488053227176785</v>
      </c>
      <c r="P36">
        <v>12</v>
      </c>
    </row>
    <row r="37" spans="1:16">
      <c r="L37" s="7" t="s">
        <v>90</v>
      </c>
      <c r="M37" s="3">
        <f t="shared" ref="M37:O37" si="15">M14*($H$44/$H$48)</f>
        <v>282.24572366596311</v>
      </c>
      <c r="N37" s="3">
        <f t="shared" si="15"/>
        <v>0</v>
      </c>
      <c r="O37" s="3">
        <f t="shared" si="15"/>
        <v>70.561430916490778</v>
      </c>
      <c r="P37">
        <v>13</v>
      </c>
    </row>
    <row r="38" spans="1:16">
      <c r="A38" s="1" t="s">
        <v>41</v>
      </c>
      <c r="G38" s="1" t="s">
        <v>44</v>
      </c>
      <c r="I38" t="s">
        <v>3</v>
      </c>
      <c r="L38" s="7" t="s">
        <v>91</v>
      </c>
      <c r="M38" s="3">
        <f t="shared" ref="M38:O38" si="16">M15*($H$44/$H$48)</f>
        <v>307.90442581741428</v>
      </c>
      <c r="N38" s="3">
        <f t="shared" si="16"/>
        <v>0</v>
      </c>
      <c r="O38" s="3">
        <f t="shared" si="16"/>
        <v>76.97610645435357</v>
      </c>
      <c r="P38">
        <v>14</v>
      </c>
    </row>
    <row r="39" spans="1:16">
      <c r="A39" s="1" t="s">
        <v>42</v>
      </c>
      <c r="B39" s="8">
        <v>1</v>
      </c>
      <c r="C39" s="8">
        <v>1</v>
      </c>
      <c r="D39" s="8" t="s">
        <v>45</v>
      </c>
      <c r="E39" s="8">
        <v>1</v>
      </c>
      <c r="F39" s="9"/>
      <c r="G39" s="9">
        <f>C39</f>
        <v>1</v>
      </c>
      <c r="H39" s="9">
        <f>1</f>
        <v>1</v>
      </c>
      <c r="I39" s="9">
        <f>1</f>
        <v>1</v>
      </c>
      <c r="L39" s="7" t="s">
        <v>92</v>
      </c>
      <c r="M39" s="3">
        <f t="shared" ref="M39:O39" si="17">M16*($H$44/$H$48)</f>
        <v>256.58702151451195</v>
      </c>
      <c r="N39" s="3">
        <f t="shared" si="17"/>
        <v>0</v>
      </c>
      <c r="O39" s="3">
        <f t="shared" si="17"/>
        <v>70.561430916490778</v>
      </c>
      <c r="P39">
        <v>15</v>
      </c>
    </row>
    <row r="40" spans="1:16">
      <c r="A40" s="1" t="s">
        <v>43</v>
      </c>
      <c r="B40" s="10">
        <v>2</v>
      </c>
      <c r="C40" s="10">
        <v>1.53</v>
      </c>
      <c r="D40" s="10"/>
      <c r="E40" s="10">
        <v>1.25</v>
      </c>
      <c r="F40" s="11"/>
      <c r="G40" s="11">
        <f>C40*C39</f>
        <v>1.53</v>
      </c>
      <c r="H40" s="11">
        <f>C40</f>
        <v>1.53</v>
      </c>
      <c r="I40" s="11">
        <f>E40</f>
        <v>1.25</v>
      </c>
      <c r="M40" s="3"/>
      <c r="N40" s="3"/>
      <c r="O40" s="3"/>
    </row>
    <row r="41" spans="1:16">
      <c r="B41" s="6">
        <v>3</v>
      </c>
      <c r="C41" s="6">
        <v>1.22</v>
      </c>
      <c r="D41" s="6"/>
      <c r="E41" s="6">
        <v>1.2190000000000001</v>
      </c>
      <c r="F41" s="12"/>
      <c r="G41" s="12">
        <f>C41*G40</f>
        <v>1.8666</v>
      </c>
      <c r="H41" s="12">
        <f>C40*C41</f>
        <v>1.8666</v>
      </c>
      <c r="I41" s="12">
        <f>E40*E41</f>
        <v>1.5237500000000002</v>
      </c>
      <c r="L41" s="7" t="s">
        <v>94</v>
      </c>
      <c r="M41" s="3">
        <f t="shared" ref="M41:O41" si="18">M18*($H$44/$H$48)</f>
        <v>222.37541864591034</v>
      </c>
      <c r="N41" s="3">
        <f t="shared" si="18"/>
        <v>0</v>
      </c>
      <c r="O41" s="3">
        <f t="shared" si="18"/>
        <v>0</v>
      </c>
    </row>
    <row r="42" spans="1:16">
      <c r="B42" s="8">
        <v>4</v>
      </c>
      <c r="C42" s="8">
        <v>1.2689999999999999</v>
      </c>
      <c r="D42" s="8"/>
      <c r="E42" s="8">
        <v>1.2699</v>
      </c>
      <c r="F42" s="9"/>
      <c r="G42" s="9">
        <f t="shared" ref="G42:G48" si="19">C42*G41</f>
        <v>2.3687153999999997</v>
      </c>
      <c r="H42" s="9">
        <f>C40*C41*C42</f>
        <v>2.3687153999999997</v>
      </c>
      <c r="I42" s="9">
        <f>E40*E41*E42</f>
        <v>1.9350101250000002</v>
      </c>
      <c r="L42" s="7" t="s">
        <v>93</v>
      </c>
      <c r="M42" s="3">
        <f t="shared" ref="M42:O42" si="20">M19*($H$44/$H$48)</f>
        <v>79.232393146607976</v>
      </c>
      <c r="N42" s="3">
        <f t="shared" si="20"/>
        <v>0</v>
      </c>
      <c r="O42" s="3">
        <f t="shared" si="20"/>
        <v>0</v>
      </c>
    </row>
    <row r="43" spans="1:16">
      <c r="B43" s="10">
        <v>5</v>
      </c>
      <c r="C43" s="10">
        <v>1.278</v>
      </c>
      <c r="D43" s="10"/>
      <c r="E43" s="10">
        <v>1.2769999999999999</v>
      </c>
      <c r="F43" s="11"/>
      <c r="G43" s="11">
        <f t="shared" si="19"/>
        <v>3.0272182811999997</v>
      </c>
      <c r="H43" s="11">
        <f>C43*C42*C41*C40</f>
        <v>3.0272182811999997</v>
      </c>
      <c r="I43" s="11">
        <f>E43*E42*E41*E40</f>
        <v>2.4710079296250003</v>
      </c>
      <c r="L43" s="7" t="s">
        <v>97</v>
      </c>
      <c r="M43">
        <v>302</v>
      </c>
      <c r="N43">
        <v>0</v>
      </c>
      <c r="O43">
        <v>0</v>
      </c>
    </row>
    <row r="44" spans="1:16">
      <c r="B44" s="6">
        <v>6</v>
      </c>
      <c r="C44" s="6">
        <v>1.3</v>
      </c>
      <c r="D44" s="6"/>
      <c r="E44" s="6">
        <v>1.3049999999999999</v>
      </c>
      <c r="F44" s="12"/>
      <c r="G44" s="12">
        <f t="shared" si="19"/>
        <v>3.9353837655599997</v>
      </c>
      <c r="H44" s="12">
        <f>C44*C43*C42*C41*C40</f>
        <v>3.9353837655599992</v>
      </c>
      <c r="I44" s="12">
        <f>E44*E43*E42*E41*E40</f>
        <v>3.2246653481606247</v>
      </c>
      <c r="L44" t="s">
        <v>96</v>
      </c>
    </row>
    <row r="45" spans="1:16">
      <c r="B45" s="8">
        <v>7</v>
      </c>
      <c r="C45" s="8">
        <v>1.32</v>
      </c>
      <c r="D45" s="8"/>
      <c r="E45" s="8"/>
      <c r="F45" s="8"/>
      <c r="G45" s="9">
        <f t="shared" si="19"/>
        <v>5.1947065705391999</v>
      </c>
      <c r="H45" s="9">
        <f>C45*C44*C43*C42*C41*C40*C39</f>
        <v>5.1947065705391999</v>
      </c>
      <c r="I45" s="9">
        <f>E45*E44*E43*E42*E41*E40*E39</f>
        <v>0</v>
      </c>
      <c r="L45" s="7" t="s">
        <v>97</v>
      </c>
      <c r="M45" s="3">
        <f>M43*($H$41/$H$44)</f>
        <v>143.2422435985184</v>
      </c>
    </row>
    <row r="46" spans="1:16">
      <c r="B46" s="10">
        <v>8</v>
      </c>
      <c r="C46" s="10">
        <v>1.52</v>
      </c>
      <c r="D46" s="10"/>
      <c r="E46" s="10"/>
      <c r="F46" s="11"/>
      <c r="G46" s="11">
        <f t="shared" si="19"/>
        <v>7.8959539872195839</v>
      </c>
      <c r="H46" s="11">
        <f>C46*C45*C44*C43*C42*C41*C40*C39</f>
        <v>7.8959539872195839</v>
      </c>
      <c r="I46" s="11">
        <f>E46*E45*E44*E43*E42*E41*E40*E39</f>
        <v>0</v>
      </c>
    </row>
    <row r="47" spans="1:16">
      <c r="B47" s="6">
        <v>9</v>
      </c>
      <c r="C47" s="6">
        <v>1.53786</v>
      </c>
      <c r="D47" s="6"/>
      <c r="E47" s="6"/>
      <c r="F47" s="12"/>
      <c r="G47" s="12">
        <f t="shared" si="19"/>
        <v>12.14287179878551</v>
      </c>
      <c r="H47" s="12">
        <f>C47*C46*C45*C44*C42*C43*C41*C40*C39</f>
        <v>12.142871798785508</v>
      </c>
      <c r="I47" s="12">
        <f>E47*E46*E45*E44*E42*E43*E41*E40*E39</f>
        <v>0</v>
      </c>
    </row>
    <row r="48" spans="1:16">
      <c r="B48" s="8">
        <v>10</v>
      </c>
      <c r="C48" s="8">
        <v>1.56</v>
      </c>
      <c r="D48" s="8"/>
      <c r="E48" s="8"/>
      <c r="F48" s="9"/>
      <c r="G48" s="9">
        <f t="shared" si="19"/>
        <v>18.942880006105398</v>
      </c>
      <c r="H48" s="9">
        <v>15</v>
      </c>
      <c r="I48" s="14"/>
    </row>
    <row r="49" spans="1:11">
      <c r="B49" s="1" t="s">
        <v>46</v>
      </c>
      <c r="C49" s="1" t="s">
        <v>1</v>
      </c>
      <c r="D49" s="1" t="s">
        <v>2</v>
      </c>
      <c r="E49" s="1" t="s">
        <v>3</v>
      </c>
      <c r="G49" s="1" t="s">
        <v>47</v>
      </c>
      <c r="H49" s="1" t="s">
        <v>1</v>
      </c>
      <c r="I49" s="1" t="s">
        <v>2</v>
      </c>
      <c r="J49" s="1" t="s">
        <v>3</v>
      </c>
    </row>
    <row r="50" spans="1:11">
      <c r="A50" s="7" t="s">
        <v>4</v>
      </c>
      <c r="C50" s="4">
        <f>$H2*$H$40</f>
        <v>30.6</v>
      </c>
      <c r="D50" s="4">
        <f>$I2*$H$40</f>
        <v>0</v>
      </c>
      <c r="E50" s="4">
        <f>$J2*$I$40</f>
        <v>9.18</v>
      </c>
      <c r="F50" s="1">
        <v>1</v>
      </c>
      <c r="G50" s="7" t="s">
        <v>4</v>
      </c>
      <c r="H50" s="4">
        <f>$H2*$H$41</f>
        <v>37.332000000000001</v>
      </c>
      <c r="I50" s="4">
        <f>$I2*$H$41</f>
        <v>0</v>
      </c>
      <c r="J50" s="4">
        <f>$J2*$I$41</f>
        <v>11.19042</v>
      </c>
      <c r="K50" s="1">
        <v>1</v>
      </c>
    </row>
    <row r="51" spans="1:11">
      <c r="A51" s="7" t="s">
        <v>5</v>
      </c>
      <c r="C51" s="4">
        <f t="shared" ref="C51:C84" si="21">$H3*$H$40</f>
        <v>29.988000000000003</v>
      </c>
      <c r="D51" s="4">
        <f t="shared" ref="D51:D84" si="22">$I3*$H$40</f>
        <v>0</v>
      </c>
      <c r="E51" s="4">
        <f t="shared" ref="E51:E84" si="23">$J3*$I$40</f>
        <v>6.1099999999999994</v>
      </c>
      <c r="F51" s="1">
        <v>2</v>
      </c>
      <c r="G51" s="7" t="s">
        <v>5</v>
      </c>
      <c r="H51" s="4">
        <f t="shared" ref="H51:H84" si="24">$H3*$H$41</f>
        <v>36.585360000000001</v>
      </c>
      <c r="I51" s="4">
        <f t="shared" ref="I51:I84" si="25">$I3*$H$41</f>
        <v>0</v>
      </c>
      <c r="J51" s="4">
        <f t="shared" ref="J51:J84" si="26">$J3*$I$41</f>
        <v>7.4480900000000005</v>
      </c>
      <c r="K51" s="1">
        <v>2</v>
      </c>
    </row>
    <row r="52" spans="1:11">
      <c r="A52" s="7" t="s">
        <v>6</v>
      </c>
      <c r="C52" s="4">
        <f t="shared" si="21"/>
        <v>193.39200000000002</v>
      </c>
      <c r="D52" s="4">
        <f t="shared" si="22"/>
        <v>0</v>
      </c>
      <c r="E52" s="4">
        <f t="shared" si="23"/>
        <v>31.6</v>
      </c>
      <c r="F52" s="1">
        <v>3</v>
      </c>
      <c r="G52" s="7" t="s">
        <v>6</v>
      </c>
      <c r="H52" s="4">
        <f t="shared" si="24"/>
        <v>235.93824000000001</v>
      </c>
      <c r="I52" s="4">
        <f t="shared" si="25"/>
        <v>0</v>
      </c>
      <c r="J52" s="4">
        <f t="shared" si="26"/>
        <v>38.520400000000009</v>
      </c>
      <c r="K52" s="1">
        <v>3</v>
      </c>
    </row>
    <row r="53" spans="1:11">
      <c r="A53" s="7" t="s">
        <v>7</v>
      </c>
      <c r="C53" s="4">
        <f t="shared" si="21"/>
        <v>57.516169574326369</v>
      </c>
      <c r="D53" s="4">
        <f t="shared" si="22"/>
        <v>0</v>
      </c>
      <c r="E53" s="4">
        <f t="shared" si="23"/>
        <v>11.989034775981429</v>
      </c>
      <c r="F53" s="1">
        <v>4</v>
      </c>
      <c r="G53" s="7" t="s">
        <v>7</v>
      </c>
      <c r="H53" s="4">
        <f t="shared" si="24"/>
        <v>70.169726880678169</v>
      </c>
      <c r="I53" s="4">
        <f t="shared" si="25"/>
        <v>0</v>
      </c>
      <c r="J53" s="4">
        <f t="shared" si="26"/>
        <v>14.614633391921362</v>
      </c>
      <c r="K53" s="1">
        <v>4</v>
      </c>
    </row>
    <row r="54" spans="1:11">
      <c r="A54" s="7" t="s">
        <v>8</v>
      </c>
      <c r="C54" s="4">
        <f t="shared" si="21"/>
        <v>61.256236840143728</v>
      </c>
      <c r="D54" s="4">
        <f t="shared" si="22"/>
        <v>0</v>
      </c>
      <c r="E54" s="4">
        <f t="shared" si="23"/>
        <v>12.262202656953157</v>
      </c>
      <c r="F54" s="1">
        <v>5</v>
      </c>
      <c r="G54" s="7" t="s">
        <v>8</v>
      </c>
      <c r="H54" s="4">
        <f t="shared" si="24"/>
        <v>74.732608944975354</v>
      </c>
      <c r="I54" s="4">
        <f t="shared" si="25"/>
        <v>0</v>
      </c>
      <c r="J54" s="4">
        <f t="shared" si="26"/>
        <v>14.947625038825899</v>
      </c>
      <c r="K54" s="1">
        <v>5</v>
      </c>
    </row>
    <row r="55" spans="1:11">
      <c r="A55" s="7" t="s">
        <v>9</v>
      </c>
      <c r="C55" s="4">
        <f t="shared" si="21"/>
        <v>5.104686403345311</v>
      </c>
      <c r="D55" s="4">
        <f t="shared" si="22"/>
        <v>153.14059210035933</v>
      </c>
      <c r="E55" s="4">
        <f t="shared" si="23"/>
        <v>12.262202656953157</v>
      </c>
      <c r="F55" s="1">
        <v>6</v>
      </c>
      <c r="G55" s="7" t="s">
        <v>9</v>
      </c>
      <c r="H55" s="4">
        <f t="shared" si="24"/>
        <v>6.2277174120812786</v>
      </c>
      <c r="I55" s="4">
        <f t="shared" si="25"/>
        <v>186.83152236243836</v>
      </c>
      <c r="J55" s="4">
        <f t="shared" si="26"/>
        <v>14.947625038825899</v>
      </c>
      <c r="K55" s="1">
        <v>6</v>
      </c>
    </row>
    <row r="56" spans="1:11">
      <c r="A56" s="7" t="s">
        <v>10</v>
      </c>
      <c r="C56" s="4">
        <f t="shared" si="21"/>
        <v>20.418745613381244</v>
      </c>
      <c r="D56" s="4">
        <f t="shared" si="22"/>
        <v>0</v>
      </c>
      <c r="E56" s="4">
        <f t="shared" si="23"/>
        <v>6.3840345515985497</v>
      </c>
      <c r="F56" s="1">
        <v>7</v>
      </c>
      <c r="G56" s="7" t="s">
        <v>10</v>
      </c>
      <c r="H56" s="4">
        <f t="shared" si="24"/>
        <v>24.910869648325114</v>
      </c>
      <c r="I56" s="4">
        <f t="shared" si="25"/>
        <v>0</v>
      </c>
      <c r="J56" s="4">
        <f t="shared" si="26"/>
        <v>7.7821381183986329</v>
      </c>
      <c r="K56" s="1">
        <v>7</v>
      </c>
    </row>
    <row r="57" spans="1:11">
      <c r="A57" s="7" t="s">
        <v>11</v>
      </c>
      <c r="C57" s="4">
        <f t="shared" si="21"/>
        <v>51.046864033453112</v>
      </c>
      <c r="D57" s="4">
        <f t="shared" si="22"/>
        <v>0</v>
      </c>
      <c r="E57" s="4">
        <f t="shared" si="23"/>
        <v>10.218502214127632</v>
      </c>
      <c r="F57" s="1">
        <v>8</v>
      </c>
      <c r="G57" s="7" t="s">
        <v>11</v>
      </c>
      <c r="H57" s="4">
        <f t="shared" si="24"/>
        <v>62.277174120812795</v>
      </c>
      <c r="I57" s="4">
        <f t="shared" si="25"/>
        <v>0</v>
      </c>
      <c r="J57" s="4">
        <f t="shared" si="26"/>
        <v>12.456354199021584</v>
      </c>
      <c r="K57" s="1">
        <v>8</v>
      </c>
    </row>
    <row r="58" spans="1:11">
      <c r="A58" s="7" t="s">
        <v>12</v>
      </c>
      <c r="C58" s="4">
        <f t="shared" si="21"/>
        <v>30.752528142011737</v>
      </c>
      <c r="D58" s="4">
        <f t="shared" si="22"/>
        <v>0</v>
      </c>
      <c r="E58" s="4">
        <f t="shared" si="23"/>
        <v>7.659709561517472</v>
      </c>
      <c r="F58" s="1">
        <v>9</v>
      </c>
      <c r="G58" s="7" t="s">
        <v>12</v>
      </c>
      <c r="H58" s="4">
        <f t="shared" si="24"/>
        <v>37.518084333254322</v>
      </c>
      <c r="I58" s="4">
        <f t="shared" si="25"/>
        <v>0</v>
      </c>
      <c r="J58" s="4">
        <f t="shared" si="26"/>
        <v>9.3371859554897991</v>
      </c>
      <c r="K58" s="1">
        <v>9</v>
      </c>
    </row>
    <row r="59" spans="1:11">
      <c r="A59" s="7" t="s">
        <v>13</v>
      </c>
      <c r="C59" s="4">
        <f t="shared" si="21"/>
        <v>40.819672131147541</v>
      </c>
      <c r="D59" s="4">
        <f t="shared" si="22"/>
        <v>0</v>
      </c>
      <c r="E59" s="4">
        <f t="shared" si="23"/>
        <v>12.255947497949137</v>
      </c>
      <c r="F59" s="1">
        <v>10</v>
      </c>
      <c r="G59" s="7" t="s">
        <v>13</v>
      </c>
      <c r="H59" s="4">
        <f t="shared" si="24"/>
        <v>49.8</v>
      </c>
      <c r="I59" s="4">
        <f t="shared" si="25"/>
        <v>0</v>
      </c>
      <c r="J59" s="4">
        <f t="shared" si="26"/>
        <v>14.940000000000001</v>
      </c>
      <c r="K59" s="1">
        <v>10</v>
      </c>
    </row>
    <row r="60" spans="1:11">
      <c r="A60" s="7" t="s">
        <v>14</v>
      </c>
      <c r="C60" s="4">
        <f t="shared" si="21"/>
        <v>20.399999999999999</v>
      </c>
      <c r="D60" s="4">
        <f t="shared" si="22"/>
        <v>0</v>
      </c>
      <c r="E60" s="4">
        <f t="shared" si="23"/>
        <v>7.65</v>
      </c>
      <c r="F60" s="1">
        <v>11</v>
      </c>
      <c r="G60" s="7" t="s">
        <v>14</v>
      </c>
      <c r="H60" s="4">
        <f t="shared" si="24"/>
        <v>24.887999999999998</v>
      </c>
      <c r="I60" s="4">
        <f t="shared" si="25"/>
        <v>0</v>
      </c>
      <c r="J60" s="4">
        <f t="shared" si="26"/>
        <v>9.325350000000002</v>
      </c>
      <c r="K60" s="1">
        <v>11</v>
      </c>
    </row>
    <row r="61" spans="1:11">
      <c r="A61" s="7" t="s">
        <v>15</v>
      </c>
      <c r="C61" s="4">
        <f t="shared" si="21"/>
        <v>49</v>
      </c>
      <c r="D61" s="4">
        <f t="shared" si="22"/>
        <v>0</v>
      </c>
      <c r="E61" s="4">
        <f t="shared" si="23"/>
        <v>15.3</v>
      </c>
      <c r="F61" s="1">
        <v>12</v>
      </c>
      <c r="G61" s="7" t="s">
        <v>15</v>
      </c>
      <c r="H61" s="4">
        <f t="shared" si="24"/>
        <v>59.78</v>
      </c>
      <c r="I61" s="4">
        <f t="shared" si="25"/>
        <v>0</v>
      </c>
      <c r="J61" s="4">
        <f t="shared" si="26"/>
        <v>18.650700000000004</v>
      </c>
      <c r="K61" s="1">
        <v>12</v>
      </c>
    </row>
    <row r="62" spans="1:11">
      <c r="A62" s="7" t="s">
        <v>16</v>
      </c>
      <c r="C62" s="4">
        <f t="shared" si="21"/>
        <v>27.241841301021015</v>
      </c>
      <c r="D62" s="4">
        <f t="shared" si="22"/>
        <v>0</v>
      </c>
      <c r="E62" s="4">
        <f t="shared" si="23"/>
        <v>16.829999999999998</v>
      </c>
      <c r="F62" s="1">
        <v>13</v>
      </c>
      <c r="G62" s="7" t="s">
        <v>16</v>
      </c>
      <c r="H62" s="4">
        <f t="shared" si="24"/>
        <v>33.235046387245639</v>
      </c>
      <c r="I62" s="4">
        <f t="shared" si="25"/>
        <v>0</v>
      </c>
      <c r="J62" s="4">
        <f t="shared" si="26"/>
        <v>20.51577</v>
      </c>
      <c r="K62" s="1">
        <v>13</v>
      </c>
    </row>
    <row r="63" spans="1:11">
      <c r="A63" s="7" t="s">
        <v>17</v>
      </c>
      <c r="C63" s="4">
        <f t="shared" si="21"/>
        <v>20.418745613381244</v>
      </c>
      <c r="D63" s="4">
        <f t="shared" si="22"/>
        <v>0</v>
      </c>
      <c r="E63" s="4">
        <f t="shared" si="23"/>
        <v>6.3840345515985497</v>
      </c>
      <c r="F63" s="1">
        <v>14</v>
      </c>
      <c r="G63" s="7" t="s">
        <v>17</v>
      </c>
      <c r="H63" s="4">
        <f t="shared" si="24"/>
        <v>24.910869648325114</v>
      </c>
      <c r="I63" s="4">
        <f t="shared" si="25"/>
        <v>0</v>
      </c>
      <c r="J63" s="4">
        <f t="shared" si="26"/>
        <v>7.7821381183986329</v>
      </c>
      <c r="K63" s="1">
        <v>14</v>
      </c>
    </row>
    <row r="64" spans="1:11">
      <c r="A64" s="7" t="s">
        <v>18</v>
      </c>
      <c r="C64" s="4">
        <f t="shared" si="21"/>
        <v>62.087048733249759</v>
      </c>
      <c r="D64" s="4">
        <f t="shared" si="22"/>
        <v>0</v>
      </c>
      <c r="E64" s="4">
        <f t="shared" si="23"/>
        <v>20.428476411536977</v>
      </c>
      <c r="F64" s="1">
        <v>15</v>
      </c>
      <c r="G64" s="7" t="s">
        <v>18</v>
      </c>
      <c r="H64" s="4">
        <f t="shared" si="24"/>
        <v>75.746199454564703</v>
      </c>
      <c r="I64" s="4">
        <f t="shared" si="25"/>
        <v>0</v>
      </c>
      <c r="J64" s="4">
        <f t="shared" si="26"/>
        <v>24.902312745663579</v>
      </c>
      <c r="K64" s="1">
        <v>15</v>
      </c>
    </row>
    <row r="65" spans="1:11">
      <c r="A65" s="7" t="s">
        <v>19</v>
      </c>
      <c r="C65" s="4">
        <f t="shared" si="21"/>
        <v>34.016393442622949</v>
      </c>
      <c r="D65" s="4">
        <f t="shared" si="22"/>
        <v>0</v>
      </c>
      <c r="E65" s="4">
        <f t="shared" si="23"/>
        <v>10.213289581624281</v>
      </c>
      <c r="F65" s="1">
        <v>16</v>
      </c>
      <c r="G65" s="7" t="s">
        <v>19</v>
      </c>
      <c r="H65" s="4">
        <f t="shared" si="24"/>
        <v>41.5</v>
      </c>
      <c r="I65" s="4">
        <f t="shared" si="25"/>
        <v>0</v>
      </c>
      <c r="J65" s="4">
        <f t="shared" si="26"/>
        <v>12.45</v>
      </c>
      <c r="K65" s="1">
        <v>16</v>
      </c>
    </row>
    <row r="66" spans="1:11">
      <c r="A66" s="7" t="s">
        <v>20</v>
      </c>
      <c r="C66" s="4">
        <f t="shared" si="21"/>
        <v>51.027658282628643</v>
      </c>
      <c r="D66" s="4">
        <f t="shared" si="22"/>
        <v>0</v>
      </c>
      <c r="E66" s="4">
        <f t="shared" si="23"/>
        <v>15.309997408928284</v>
      </c>
      <c r="F66" s="1">
        <v>17</v>
      </c>
      <c r="G66" s="7" t="s">
        <v>20</v>
      </c>
      <c r="H66" s="4">
        <f t="shared" si="24"/>
        <v>62.253743104806944</v>
      </c>
      <c r="I66" s="4">
        <f t="shared" si="25"/>
        <v>0</v>
      </c>
      <c r="J66" s="4">
        <f t="shared" si="26"/>
        <v>18.66288684148358</v>
      </c>
      <c r="K66" s="1">
        <v>17</v>
      </c>
    </row>
    <row r="67" spans="1:11">
      <c r="A67" s="7" t="s">
        <v>21</v>
      </c>
      <c r="C67" s="4">
        <f t="shared" si="21"/>
        <v>46.565286549937312</v>
      </c>
      <c r="D67" s="4">
        <f t="shared" si="22"/>
        <v>0</v>
      </c>
      <c r="E67" s="4">
        <f t="shared" si="23"/>
        <v>12.768766850019507</v>
      </c>
      <c r="F67" s="1">
        <v>18</v>
      </c>
      <c r="G67" s="7" t="s">
        <v>21</v>
      </c>
      <c r="H67" s="4">
        <f t="shared" si="24"/>
        <v>56.80964959092352</v>
      </c>
      <c r="I67" s="4">
        <f t="shared" si="25"/>
        <v>0</v>
      </c>
      <c r="J67" s="4">
        <f t="shared" si="26"/>
        <v>15.56512679017378</v>
      </c>
      <c r="K67" s="1">
        <v>18</v>
      </c>
    </row>
    <row r="68" spans="1:11">
      <c r="A68" s="7" t="s">
        <v>22</v>
      </c>
      <c r="C68" s="4">
        <f t="shared" si="21"/>
        <v>51.046864033453112</v>
      </c>
      <c r="D68" s="4">
        <f t="shared" si="22"/>
        <v>0</v>
      </c>
      <c r="E68" s="4">
        <f t="shared" si="23"/>
        <v>10.218502214127632</v>
      </c>
      <c r="F68" s="1">
        <v>19</v>
      </c>
      <c r="G68" s="7" t="s">
        <v>22</v>
      </c>
      <c r="H68" s="4">
        <f t="shared" si="24"/>
        <v>62.277174120812795</v>
      </c>
      <c r="I68" s="4">
        <f t="shared" si="25"/>
        <v>0</v>
      </c>
      <c r="J68" s="4">
        <f t="shared" si="26"/>
        <v>12.456354199021584</v>
      </c>
      <c r="K68" s="1">
        <v>19</v>
      </c>
    </row>
    <row r="69" spans="1:11">
      <c r="A69" s="7" t="s">
        <v>23</v>
      </c>
      <c r="C69" s="4">
        <f t="shared" si="21"/>
        <v>34.016393442622949</v>
      </c>
      <c r="D69" s="4">
        <f t="shared" si="22"/>
        <v>0</v>
      </c>
      <c r="E69" s="4">
        <f t="shared" si="23"/>
        <v>9.9600000000000009</v>
      </c>
      <c r="F69" s="1">
        <v>20</v>
      </c>
      <c r="G69" s="7" t="s">
        <v>23</v>
      </c>
      <c r="H69" s="4">
        <f t="shared" si="24"/>
        <v>41.5</v>
      </c>
      <c r="I69" s="4">
        <f t="shared" si="25"/>
        <v>0</v>
      </c>
      <c r="J69" s="4">
        <f t="shared" si="26"/>
        <v>12.141240000000003</v>
      </c>
      <c r="K69" s="1">
        <v>20</v>
      </c>
    </row>
    <row r="70" spans="1:11">
      <c r="A70" s="7" t="s">
        <v>24</v>
      </c>
      <c r="C70" s="4">
        <f t="shared" si="21"/>
        <v>51.027658282628643</v>
      </c>
      <c r="D70" s="4">
        <f t="shared" si="22"/>
        <v>0</v>
      </c>
      <c r="E70" s="4">
        <f t="shared" si="23"/>
        <v>10.206664939285524</v>
      </c>
      <c r="F70" s="1">
        <v>21</v>
      </c>
      <c r="G70" s="7" t="s">
        <v>24</v>
      </c>
      <c r="H70" s="4">
        <f t="shared" si="24"/>
        <v>62.253743104806944</v>
      </c>
      <c r="I70" s="4">
        <f t="shared" si="25"/>
        <v>0</v>
      </c>
      <c r="J70" s="4">
        <f t="shared" si="26"/>
        <v>12.441924560989055</v>
      </c>
      <c r="K70" s="1">
        <v>21</v>
      </c>
    </row>
    <row r="71" spans="1:11">
      <c r="A71" s="7" t="s">
        <v>25</v>
      </c>
      <c r="C71" s="4">
        <f t="shared" si="21"/>
        <v>34.039969512588982</v>
      </c>
      <c r="D71" s="4">
        <f t="shared" si="22"/>
        <v>0</v>
      </c>
      <c r="E71" s="4">
        <f t="shared" si="23"/>
        <v>10.206664939285524</v>
      </c>
      <c r="F71" s="1">
        <v>22</v>
      </c>
      <c r="G71" s="7" t="s">
        <v>25</v>
      </c>
      <c r="H71" s="4">
        <f t="shared" si="24"/>
        <v>41.528762805358561</v>
      </c>
      <c r="I71" s="4">
        <f t="shared" si="25"/>
        <v>0</v>
      </c>
      <c r="J71" s="4">
        <f t="shared" si="26"/>
        <v>12.441924560989055</v>
      </c>
      <c r="K71" s="1">
        <v>22</v>
      </c>
    </row>
    <row r="72" spans="1:11">
      <c r="A72" s="7" t="s">
        <v>26</v>
      </c>
      <c r="C72" s="4">
        <f t="shared" si="21"/>
        <v>68.079332527783492</v>
      </c>
      <c r="D72" s="4">
        <f t="shared" si="22"/>
        <v>0</v>
      </c>
      <c r="E72" s="4">
        <f t="shared" si="23"/>
        <v>16.349603542604211</v>
      </c>
      <c r="F72" s="1">
        <v>23</v>
      </c>
      <c r="G72" s="7" t="s">
        <v>26</v>
      </c>
      <c r="H72" s="4">
        <f t="shared" si="24"/>
        <v>83.056785683895868</v>
      </c>
      <c r="I72" s="4">
        <f t="shared" si="25"/>
        <v>0</v>
      </c>
      <c r="J72" s="4">
        <f t="shared" si="26"/>
        <v>19.930166718434535</v>
      </c>
      <c r="K72" s="1">
        <v>23</v>
      </c>
    </row>
    <row r="73" spans="1:11">
      <c r="A73" s="7" t="s">
        <v>27</v>
      </c>
      <c r="C73" s="4">
        <f t="shared" si="21"/>
        <v>81.644253252205829</v>
      </c>
      <c r="D73" s="4">
        <f t="shared" si="22"/>
        <v>0</v>
      </c>
      <c r="E73" s="4">
        <f t="shared" si="23"/>
        <v>13.611039890553542</v>
      </c>
      <c r="F73" s="1">
        <v>24</v>
      </c>
      <c r="G73" s="7" t="s">
        <v>27</v>
      </c>
      <c r="H73" s="4">
        <f t="shared" si="24"/>
        <v>99.605988967691104</v>
      </c>
      <c r="I73" s="4">
        <f t="shared" si="25"/>
        <v>0</v>
      </c>
      <c r="J73" s="4">
        <f t="shared" si="26"/>
        <v>16.591857626584769</v>
      </c>
      <c r="K73" s="1">
        <v>24</v>
      </c>
    </row>
    <row r="74" spans="1:11">
      <c r="A74" s="7" t="s">
        <v>28</v>
      </c>
      <c r="C74" s="4">
        <f t="shared" si="21"/>
        <v>37.097423960945136</v>
      </c>
      <c r="D74" s="4">
        <f t="shared" si="22"/>
        <v>0</v>
      </c>
      <c r="E74" s="4">
        <f t="shared" si="23"/>
        <v>15.3</v>
      </c>
      <c r="F74" s="1">
        <v>25</v>
      </c>
      <c r="G74" s="7" t="s">
        <v>28</v>
      </c>
      <c r="H74" s="4">
        <f t="shared" si="24"/>
        <v>45.258857232353058</v>
      </c>
      <c r="I74" s="4">
        <f t="shared" si="25"/>
        <v>0</v>
      </c>
      <c r="J74" s="4">
        <f t="shared" si="26"/>
        <v>18.650700000000004</v>
      </c>
      <c r="K74" s="1">
        <v>25</v>
      </c>
    </row>
    <row r="75" spans="1:11">
      <c r="A75" s="7" t="s">
        <v>29</v>
      </c>
      <c r="C75" s="4">
        <f t="shared" si="21"/>
        <v>24.939</v>
      </c>
      <c r="D75" s="4">
        <f t="shared" si="22"/>
        <v>0</v>
      </c>
      <c r="E75" s="4">
        <f t="shared" si="23"/>
        <v>6.3624999999999998</v>
      </c>
      <c r="F75" s="1">
        <v>26</v>
      </c>
      <c r="G75" s="7" t="s">
        <v>29</v>
      </c>
      <c r="H75" s="4">
        <f t="shared" si="24"/>
        <v>30.425580000000004</v>
      </c>
      <c r="I75" s="4">
        <f t="shared" si="25"/>
        <v>0</v>
      </c>
      <c r="J75" s="4">
        <f t="shared" si="26"/>
        <v>7.7558875000000009</v>
      </c>
      <c r="K75" s="1">
        <v>26</v>
      </c>
    </row>
    <row r="76" spans="1:11">
      <c r="A76" s="7" t="s">
        <v>30</v>
      </c>
      <c r="C76" s="4">
        <f t="shared" si="21"/>
        <v>149.63399999999999</v>
      </c>
      <c r="D76" s="4">
        <f t="shared" si="22"/>
        <v>0</v>
      </c>
      <c r="E76" s="4">
        <f t="shared" si="23"/>
        <v>25.474999999999998</v>
      </c>
      <c r="F76" s="1">
        <v>27</v>
      </c>
      <c r="G76" s="7" t="s">
        <v>30</v>
      </c>
      <c r="H76" s="4">
        <f t="shared" si="24"/>
        <v>182.55348000000001</v>
      </c>
      <c r="I76" s="4">
        <f t="shared" si="25"/>
        <v>0</v>
      </c>
      <c r="J76" s="4">
        <f t="shared" si="26"/>
        <v>31.054025000000003</v>
      </c>
      <c r="K76" s="1">
        <v>27</v>
      </c>
    </row>
    <row r="77" spans="1:11">
      <c r="A77" s="7" t="s">
        <v>31</v>
      </c>
      <c r="C77" s="4">
        <f t="shared" si="21"/>
        <v>79</v>
      </c>
      <c r="D77" s="4">
        <f t="shared" si="22"/>
        <v>0</v>
      </c>
      <c r="E77" s="4">
        <f t="shared" si="23"/>
        <v>15.309997408928284</v>
      </c>
      <c r="F77" s="1">
        <v>28</v>
      </c>
      <c r="G77" s="7" t="s">
        <v>31</v>
      </c>
      <c r="H77" s="4">
        <f t="shared" si="24"/>
        <v>96.38000000000001</v>
      </c>
      <c r="I77" s="4">
        <f t="shared" si="25"/>
        <v>0</v>
      </c>
      <c r="J77" s="4">
        <f t="shared" si="26"/>
        <v>18.66288684148358</v>
      </c>
      <c r="K77" s="1">
        <v>28</v>
      </c>
    </row>
    <row r="78" spans="1:11">
      <c r="A78" s="7" t="s">
        <v>32</v>
      </c>
      <c r="C78" s="4">
        <f t="shared" si="21"/>
        <v>94.8</v>
      </c>
      <c r="D78" s="4">
        <f t="shared" si="22"/>
        <v>0</v>
      </c>
      <c r="E78" s="4">
        <f t="shared" si="23"/>
        <v>15.309997408928284</v>
      </c>
      <c r="F78" s="1">
        <v>29</v>
      </c>
      <c r="G78" s="7" t="s">
        <v>32</v>
      </c>
      <c r="H78" s="4">
        <f t="shared" si="24"/>
        <v>115.65600000000001</v>
      </c>
      <c r="I78" s="4">
        <f t="shared" si="25"/>
        <v>0</v>
      </c>
      <c r="J78" s="4">
        <f t="shared" si="26"/>
        <v>18.66288684148358</v>
      </c>
      <c r="K78" s="1">
        <v>29</v>
      </c>
    </row>
    <row r="79" spans="1:11">
      <c r="A79" s="7" t="s">
        <v>33</v>
      </c>
      <c r="C79" s="4">
        <f t="shared" si="21"/>
        <v>100.99999999999999</v>
      </c>
      <c r="D79" s="4">
        <f t="shared" si="22"/>
        <v>0</v>
      </c>
      <c r="E79" s="4">
        <f t="shared" si="23"/>
        <v>10.218502214127632</v>
      </c>
      <c r="F79" s="1">
        <v>30</v>
      </c>
      <c r="G79" s="7" t="s">
        <v>33</v>
      </c>
      <c r="H79" s="4">
        <f t="shared" si="24"/>
        <v>123.21999999999998</v>
      </c>
      <c r="I79" s="4">
        <f t="shared" si="25"/>
        <v>0</v>
      </c>
      <c r="J79" s="4">
        <f t="shared" si="26"/>
        <v>12.456354199021584</v>
      </c>
      <c r="K79" s="1">
        <v>30</v>
      </c>
    </row>
    <row r="80" spans="1:11">
      <c r="A80" s="7" t="s">
        <v>34</v>
      </c>
      <c r="C80" s="4">
        <f t="shared" si="21"/>
        <v>25.523432016726556</v>
      </c>
      <c r="D80" s="4">
        <f t="shared" si="22"/>
        <v>0</v>
      </c>
      <c r="E80" s="4">
        <f t="shared" si="23"/>
        <v>7.663876660595724</v>
      </c>
      <c r="F80" s="1">
        <v>31</v>
      </c>
      <c r="G80" s="7" t="s">
        <v>34</v>
      </c>
      <c r="H80" s="4">
        <f t="shared" si="24"/>
        <v>31.138587060406397</v>
      </c>
      <c r="I80" s="4">
        <f t="shared" si="25"/>
        <v>0</v>
      </c>
      <c r="J80" s="4">
        <f t="shared" si="26"/>
        <v>9.3422656492661886</v>
      </c>
      <c r="K80" s="1">
        <v>31</v>
      </c>
    </row>
    <row r="81" spans="1:11">
      <c r="A81" s="7" t="s">
        <v>35</v>
      </c>
      <c r="C81" s="4">
        <f t="shared" si="21"/>
        <v>20.705500597473709</v>
      </c>
      <c r="D81" s="4">
        <f t="shared" si="22"/>
        <v>0</v>
      </c>
      <c r="E81" s="4">
        <f t="shared" si="23"/>
        <v>10.214238205768488</v>
      </c>
      <c r="F81" s="1">
        <v>32</v>
      </c>
      <c r="G81" s="7" t="s">
        <v>35</v>
      </c>
      <c r="H81" s="4">
        <f t="shared" si="24"/>
        <v>25.260710728917921</v>
      </c>
      <c r="I81" s="4">
        <f t="shared" si="25"/>
        <v>0</v>
      </c>
      <c r="J81" s="4">
        <f t="shared" si="26"/>
        <v>12.45115637283179</v>
      </c>
      <c r="K81" s="1">
        <v>32</v>
      </c>
    </row>
    <row r="82" spans="1:11">
      <c r="A82" s="7" t="s">
        <v>36</v>
      </c>
      <c r="C82" s="4">
        <f t="shared" si="21"/>
        <v>93.130573099874624</v>
      </c>
      <c r="D82" s="4">
        <f t="shared" si="22"/>
        <v>0</v>
      </c>
      <c r="E82" s="4">
        <f t="shared" si="23"/>
        <v>25.537533700039013</v>
      </c>
      <c r="F82" s="1">
        <v>33</v>
      </c>
      <c r="G82" s="7" t="s">
        <v>36</v>
      </c>
      <c r="H82" s="4">
        <f t="shared" si="24"/>
        <v>113.61929918184704</v>
      </c>
      <c r="I82" s="4">
        <f t="shared" si="25"/>
        <v>0</v>
      </c>
      <c r="J82" s="4">
        <f t="shared" si="26"/>
        <v>31.13025358034756</v>
      </c>
      <c r="K82" s="1">
        <v>33</v>
      </c>
    </row>
    <row r="83" spans="1:11">
      <c r="A83" s="7" t="s">
        <v>37</v>
      </c>
      <c r="C83" s="4">
        <f t="shared" si="21"/>
        <v>22.491</v>
      </c>
      <c r="D83" s="4">
        <f t="shared" si="22"/>
        <v>0</v>
      </c>
      <c r="E83" s="4">
        <f t="shared" si="23"/>
        <v>5.7249999999999996</v>
      </c>
      <c r="F83" s="1">
        <v>34</v>
      </c>
      <c r="G83" s="7" t="s">
        <v>37</v>
      </c>
      <c r="H83" s="4">
        <f t="shared" si="24"/>
        <v>27.439019999999999</v>
      </c>
      <c r="I83" s="4">
        <f t="shared" si="25"/>
        <v>0</v>
      </c>
      <c r="J83" s="4">
        <f t="shared" si="26"/>
        <v>6.9787750000000006</v>
      </c>
      <c r="K83" s="1">
        <v>34</v>
      </c>
    </row>
    <row r="84" spans="1:11">
      <c r="A84" s="7" t="s">
        <v>38</v>
      </c>
      <c r="C84" s="4">
        <f t="shared" si="21"/>
        <v>14.7</v>
      </c>
      <c r="D84" s="4">
        <f t="shared" si="22"/>
        <v>153</v>
      </c>
      <c r="E84" s="4">
        <f t="shared" si="23"/>
        <v>9.18</v>
      </c>
      <c r="F84" s="1">
        <v>35</v>
      </c>
      <c r="G84" s="7" t="s">
        <v>38</v>
      </c>
      <c r="H84" s="4">
        <f t="shared" si="24"/>
        <v>17.934000000000001</v>
      </c>
      <c r="I84" s="4">
        <f t="shared" si="25"/>
        <v>186.66</v>
      </c>
      <c r="J84" s="4">
        <f t="shared" si="26"/>
        <v>11.19042</v>
      </c>
      <c r="K84" s="1">
        <v>35</v>
      </c>
    </row>
    <row r="85" spans="1:11">
      <c r="F85" s="1"/>
      <c r="K85" s="1"/>
    </row>
    <row r="86" spans="1:11">
      <c r="F86" s="1"/>
      <c r="K86" s="1"/>
    </row>
    <row r="87" spans="1:11">
      <c r="F87" s="1"/>
      <c r="K87" s="1"/>
    </row>
    <row r="88" spans="1:11">
      <c r="F88" s="1"/>
      <c r="K88" s="1"/>
    </row>
    <row r="89" spans="1:11">
      <c r="B89" s="1" t="s">
        <v>48</v>
      </c>
      <c r="C89" s="1" t="s">
        <v>1</v>
      </c>
      <c r="D89" s="1" t="s">
        <v>2</v>
      </c>
      <c r="E89" s="1" t="s">
        <v>3</v>
      </c>
      <c r="F89" s="1"/>
      <c r="G89" s="1" t="s">
        <v>49</v>
      </c>
      <c r="H89" s="1" t="s">
        <v>1</v>
      </c>
      <c r="I89" s="1" t="s">
        <v>2</v>
      </c>
      <c r="J89" s="1" t="s">
        <v>3</v>
      </c>
      <c r="K89" s="1"/>
    </row>
    <row r="90" spans="1:11">
      <c r="A90" s="7" t="s">
        <v>4</v>
      </c>
      <c r="B90">
        <v>1</v>
      </c>
      <c r="C90" s="4">
        <f>$H2*$H$42</f>
        <v>47.374307999999992</v>
      </c>
      <c r="D90" s="4">
        <f>$I2*$H$42</f>
        <v>0</v>
      </c>
      <c r="E90" s="4">
        <f>$J2*$I$42</f>
        <v>14.210714358000001</v>
      </c>
      <c r="F90" s="1">
        <v>1</v>
      </c>
      <c r="G90" s="7" t="s">
        <v>4</v>
      </c>
      <c r="H90" s="4">
        <f>$H2*$H$43</f>
        <v>60.544365623999994</v>
      </c>
      <c r="I90" s="4">
        <f>$I2*$H$43</f>
        <v>0</v>
      </c>
      <c r="J90" s="4">
        <f>$J2*$I$43</f>
        <v>18.147082235166</v>
      </c>
      <c r="K90" s="1">
        <v>1</v>
      </c>
    </row>
    <row r="91" spans="1:11">
      <c r="A91" s="7" t="s">
        <v>5</v>
      </c>
      <c r="B91">
        <v>2</v>
      </c>
      <c r="C91" s="4">
        <f t="shared" ref="C91:C124" si="27">$H3*$H$42</f>
        <v>46.426821839999995</v>
      </c>
      <c r="D91" s="4">
        <f t="shared" ref="D91:D124" si="28">$I3*$H$42</f>
        <v>0</v>
      </c>
      <c r="E91" s="4">
        <f t="shared" ref="E91:E124" si="29">$J3*$I$42</f>
        <v>9.4583294910000006</v>
      </c>
      <c r="F91" s="1">
        <v>2</v>
      </c>
      <c r="G91" s="7" t="s">
        <v>5</v>
      </c>
      <c r="H91" s="4">
        <f t="shared" ref="H91:H124" si="30">$H3*$H$43</f>
        <v>59.333478311519997</v>
      </c>
      <c r="I91" s="4">
        <f t="shared" ref="I91:I124" si="31">$I3*$H$43</f>
        <v>0</v>
      </c>
      <c r="J91" s="4">
        <f t="shared" ref="J91:J124" si="32">$J3*$I$43</f>
        <v>12.078286760007002</v>
      </c>
      <c r="K91" s="1">
        <v>2</v>
      </c>
    </row>
    <row r="92" spans="1:11">
      <c r="A92" s="7" t="s">
        <v>6</v>
      </c>
      <c r="B92">
        <v>3</v>
      </c>
      <c r="C92" s="4">
        <f t="shared" si="27"/>
        <v>299.40562655999997</v>
      </c>
      <c r="D92" s="4">
        <f t="shared" si="28"/>
        <v>0</v>
      </c>
      <c r="E92" s="4">
        <f t="shared" si="29"/>
        <v>48.917055960000006</v>
      </c>
      <c r="F92" s="1">
        <v>3</v>
      </c>
      <c r="G92" s="7" t="s">
        <v>6</v>
      </c>
      <c r="H92" s="4">
        <f t="shared" si="30"/>
        <v>382.64039074367997</v>
      </c>
      <c r="I92" s="4">
        <f t="shared" si="31"/>
        <v>0</v>
      </c>
      <c r="J92" s="4">
        <f t="shared" si="32"/>
        <v>62.467080460920009</v>
      </c>
      <c r="K92" s="1">
        <v>3</v>
      </c>
    </row>
    <row r="93" spans="1:11">
      <c r="A93" s="7" t="s">
        <v>7</v>
      </c>
      <c r="B93">
        <v>4</v>
      </c>
      <c r="C93" s="4">
        <f t="shared" si="27"/>
        <v>89.045383411580588</v>
      </c>
      <c r="D93" s="4">
        <f t="shared" si="28"/>
        <v>0</v>
      </c>
      <c r="E93" s="4">
        <f t="shared" si="29"/>
        <v>18.55912294440094</v>
      </c>
      <c r="F93" s="1">
        <v>4</v>
      </c>
      <c r="G93" s="7" t="s">
        <v>7</v>
      </c>
      <c r="H93" s="4">
        <f t="shared" si="30"/>
        <v>113.8</v>
      </c>
      <c r="I93" s="4">
        <f t="shared" si="31"/>
        <v>0</v>
      </c>
      <c r="J93" s="4">
        <f t="shared" si="32"/>
        <v>23.7</v>
      </c>
      <c r="K93" s="1">
        <v>4</v>
      </c>
    </row>
    <row r="94" spans="1:11">
      <c r="A94" s="7" t="s">
        <v>8</v>
      </c>
      <c r="B94">
        <v>5</v>
      </c>
      <c r="C94" s="4">
        <f t="shared" si="27"/>
        <v>94.835680751173697</v>
      </c>
      <c r="D94" s="4">
        <f t="shared" si="28"/>
        <v>0</v>
      </c>
      <c r="E94" s="4">
        <f t="shared" si="29"/>
        <v>18.981989036805011</v>
      </c>
      <c r="F94" s="1">
        <v>5</v>
      </c>
      <c r="G94" s="7" t="s">
        <v>8</v>
      </c>
      <c r="H94" s="4">
        <f t="shared" si="30"/>
        <v>121.19999999999999</v>
      </c>
      <c r="I94" s="4">
        <f t="shared" si="31"/>
        <v>0</v>
      </c>
      <c r="J94" s="4">
        <f t="shared" si="32"/>
        <v>24.239999999999995</v>
      </c>
      <c r="K94" s="1">
        <v>5</v>
      </c>
    </row>
    <row r="95" spans="1:11">
      <c r="A95" s="7" t="s">
        <v>9</v>
      </c>
      <c r="B95">
        <v>6</v>
      </c>
      <c r="C95" s="4">
        <f t="shared" si="27"/>
        <v>7.9029733959311415</v>
      </c>
      <c r="D95" s="4">
        <f t="shared" si="28"/>
        <v>237.08920187793427</v>
      </c>
      <c r="E95" s="4">
        <f t="shared" si="29"/>
        <v>18.981989036805011</v>
      </c>
      <c r="F95" s="1">
        <v>6</v>
      </c>
      <c r="G95" s="7" t="s">
        <v>9</v>
      </c>
      <c r="H95" s="4">
        <f t="shared" si="30"/>
        <v>10.1</v>
      </c>
      <c r="I95" s="4">
        <f t="shared" si="31"/>
        <v>303</v>
      </c>
      <c r="J95" s="4">
        <f t="shared" si="32"/>
        <v>24.239999999999995</v>
      </c>
      <c r="K95" s="1">
        <v>6</v>
      </c>
    </row>
    <row r="96" spans="1:11">
      <c r="A96" s="7" t="s">
        <v>10</v>
      </c>
      <c r="B96">
        <v>7</v>
      </c>
      <c r="C96" s="4">
        <f t="shared" si="27"/>
        <v>31.611893583724566</v>
      </c>
      <c r="D96" s="4">
        <f t="shared" si="28"/>
        <v>0</v>
      </c>
      <c r="E96" s="4">
        <f t="shared" si="29"/>
        <v>9.8825371965544235</v>
      </c>
      <c r="F96" s="1">
        <v>7</v>
      </c>
      <c r="G96" s="7" t="s">
        <v>10</v>
      </c>
      <c r="H96" s="4">
        <f t="shared" si="30"/>
        <v>40.4</v>
      </c>
      <c r="I96" s="4">
        <f t="shared" si="31"/>
        <v>0</v>
      </c>
      <c r="J96" s="4">
        <f t="shared" si="32"/>
        <v>12.62</v>
      </c>
      <c r="K96" s="1">
        <v>7</v>
      </c>
    </row>
    <row r="97" spans="1:11">
      <c r="A97" s="7" t="s">
        <v>11</v>
      </c>
      <c r="B97">
        <v>8</v>
      </c>
      <c r="C97" s="4">
        <f t="shared" si="27"/>
        <v>79.029733959311429</v>
      </c>
      <c r="D97" s="4">
        <f t="shared" si="28"/>
        <v>0</v>
      </c>
      <c r="E97" s="4">
        <f t="shared" si="29"/>
        <v>15.81832419733751</v>
      </c>
      <c r="F97" s="1">
        <v>8</v>
      </c>
      <c r="G97" s="7" t="s">
        <v>11</v>
      </c>
      <c r="H97" s="4">
        <f t="shared" si="30"/>
        <v>101</v>
      </c>
      <c r="I97" s="4">
        <f t="shared" si="31"/>
        <v>0</v>
      </c>
      <c r="J97" s="4">
        <f t="shared" si="32"/>
        <v>20.2</v>
      </c>
      <c r="K97" s="1">
        <v>8</v>
      </c>
    </row>
    <row r="98" spans="1:11">
      <c r="A98" s="7" t="s">
        <v>12</v>
      </c>
      <c r="B98">
        <v>9</v>
      </c>
      <c r="C98" s="4">
        <f t="shared" si="27"/>
        <v>47.610449018899729</v>
      </c>
      <c r="D98" s="4">
        <f t="shared" si="28"/>
        <v>0</v>
      </c>
      <c r="E98" s="4">
        <f t="shared" si="29"/>
        <v>11.857292444876496</v>
      </c>
      <c r="F98" s="1">
        <v>9</v>
      </c>
      <c r="G98" s="7" t="s">
        <v>12</v>
      </c>
      <c r="H98" s="4">
        <f t="shared" si="30"/>
        <v>60.846153846153854</v>
      </c>
      <c r="I98" s="4">
        <f t="shared" si="31"/>
        <v>0</v>
      </c>
      <c r="J98" s="4">
        <f t="shared" si="32"/>
        <v>15.141762452107285</v>
      </c>
      <c r="K98" s="1">
        <v>9</v>
      </c>
    </row>
    <row r="99" spans="1:11">
      <c r="A99" s="7" t="s">
        <v>13</v>
      </c>
      <c r="B99">
        <v>10</v>
      </c>
      <c r="C99" s="4">
        <f t="shared" si="27"/>
        <v>63.19619999999999</v>
      </c>
      <c r="D99" s="4">
        <f t="shared" si="28"/>
        <v>0</v>
      </c>
      <c r="E99" s="4">
        <f t="shared" si="29"/>
        <v>18.972306</v>
      </c>
      <c r="F99" s="1">
        <v>10</v>
      </c>
      <c r="G99" s="7" t="s">
        <v>13</v>
      </c>
      <c r="H99" s="4">
        <f t="shared" si="30"/>
        <v>80.764743599999989</v>
      </c>
      <c r="I99" s="4">
        <f t="shared" si="31"/>
        <v>0</v>
      </c>
      <c r="J99" s="4">
        <f t="shared" si="32"/>
        <v>24.227634762000001</v>
      </c>
      <c r="K99" s="1">
        <v>10</v>
      </c>
    </row>
    <row r="100" spans="1:11">
      <c r="A100" s="7" t="s">
        <v>14</v>
      </c>
      <c r="B100">
        <v>11</v>
      </c>
      <c r="C100" s="4">
        <f t="shared" si="27"/>
        <v>31.582871999999995</v>
      </c>
      <c r="D100" s="4">
        <f t="shared" si="28"/>
        <v>0</v>
      </c>
      <c r="E100" s="4">
        <f t="shared" si="29"/>
        <v>11.842261965000002</v>
      </c>
      <c r="F100" s="1">
        <v>11</v>
      </c>
      <c r="G100" s="7" t="s">
        <v>14</v>
      </c>
      <c r="H100" s="4">
        <f t="shared" si="30"/>
        <v>40.362910415999991</v>
      </c>
      <c r="I100" s="4">
        <f t="shared" si="31"/>
        <v>0</v>
      </c>
      <c r="J100" s="4">
        <f t="shared" si="32"/>
        <v>15.122568529305003</v>
      </c>
      <c r="K100" s="1">
        <v>11</v>
      </c>
    </row>
    <row r="101" spans="1:11">
      <c r="A101" s="7" t="s">
        <v>15</v>
      </c>
      <c r="B101">
        <v>12</v>
      </c>
      <c r="C101" s="4">
        <f t="shared" si="27"/>
        <v>75.86081999999999</v>
      </c>
      <c r="D101" s="4">
        <f t="shared" si="28"/>
        <v>0</v>
      </c>
      <c r="E101" s="4">
        <f t="shared" si="29"/>
        <v>23.684523930000005</v>
      </c>
      <c r="F101" s="1">
        <v>12</v>
      </c>
      <c r="G101" s="7" t="s">
        <v>15</v>
      </c>
      <c r="H101" s="4">
        <f t="shared" si="30"/>
        <v>96.950127959999989</v>
      </c>
      <c r="I101" s="4">
        <f t="shared" si="31"/>
        <v>0</v>
      </c>
      <c r="J101" s="4">
        <f t="shared" si="32"/>
        <v>30.245137058610005</v>
      </c>
      <c r="K101" s="1">
        <v>12</v>
      </c>
    </row>
    <row r="102" spans="1:11">
      <c r="A102" s="7" t="s">
        <v>16</v>
      </c>
      <c r="B102">
        <v>13</v>
      </c>
      <c r="C102" s="4">
        <f t="shared" si="27"/>
        <v>42.175273865414709</v>
      </c>
      <c r="D102" s="4">
        <f t="shared" si="28"/>
        <v>0</v>
      </c>
      <c r="E102" s="4">
        <f t="shared" si="29"/>
        <v>26.052976322999999</v>
      </c>
      <c r="F102" s="1">
        <v>13</v>
      </c>
      <c r="G102" s="7" t="s">
        <v>16</v>
      </c>
      <c r="H102" s="4">
        <f t="shared" si="30"/>
        <v>53.9</v>
      </c>
      <c r="I102" s="4">
        <f t="shared" si="31"/>
        <v>0</v>
      </c>
      <c r="J102" s="4">
        <f t="shared" si="32"/>
        <v>33.269650764471002</v>
      </c>
      <c r="K102" s="1">
        <v>13</v>
      </c>
    </row>
    <row r="103" spans="1:11">
      <c r="A103" s="7" t="s">
        <v>17</v>
      </c>
      <c r="B103">
        <v>14</v>
      </c>
      <c r="C103" s="4">
        <f t="shared" si="27"/>
        <v>31.611893583724566</v>
      </c>
      <c r="D103" s="4">
        <f t="shared" si="28"/>
        <v>0</v>
      </c>
      <c r="E103" s="4">
        <f t="shared" si="29"/>
        <v>9.8825371965544235</v>
      </c>
      <c r="F103" s="1">
        <v>14</v>
      </c>
      <c r="G103" s="7" t="s">
        <v>17</v>
      </c>
      <c r="H103" s="4">
        <f t="shared" si="30"/>
        <v>40.4</v>
      </c>
      <c r="I103" s="4">
        <f t="shared" si="31"/>
        <v>0</v>
      </c>
      <c r="J103" s="4">
        <f t="shared" si="32"/>
        <v>12.62</v>
      </c>
      <c r="K103" s="1">
        <v>14</v>
      </c>
    </row>
    <row r="104" spans="1:11">
      <c r="A104" s="7" t="s">
        <v>18</v>
      </c>
      <c r="B104">
        <v>15</v>
      </c>
      <c r="C104" s="4">
        <f t="shared" si="27"/>
        <v>96.121927107842595</v>
      </c>
      <c r="D104" s="4">
        <f t="shared" si="28"/>
        <v>0</v>
      </c>
      <c r="E104" s="4">
        <f t="shared" si="29"/>
        <v>31.62344695571818</v>
      </c>
      <c r="F104" s="1">
        <v>15</v>
      </c>
      <c r="G104" s="7" t="s">
        <v>18</v>
      </c>
      <c r="H104" s="4">
        <f t="shared" si="30"/>
        <v>122.84382284382285</v>
      </c>
      <c r="I104" s="4">
        <f t="shared" si="31"/>
        <v>0</v>
      </c>
      <c r="J104" s="4">
        <f t="shared" si="32"/>
        <v>40.383141762452112</v>
      </c>
      <c r="K104" s="1">
        <v>15</v>
      </c>
    </row>
    <row r="105" spans="1:11">
      <c r="A105" s="7" t="s">
        <v>19</v>
      </c>
      <c r="B105">
        <v>16</v>
      </c>
      <c r="C105" s="4">
        <f t="shared" si="27"/>
        <v>52.663499999999992</v>
      </c>
      <c r="D105" s="4">
        <f t="shared" si="28"/>
        <v>0</v>
      </c>
      <c r="E105" s="4">
        <f t="shared" si="29"/>
        <v>15.810255</v>
      </c>
      <c r="F105" s="1">
        <v>16</v>
      </c>
      <c r="G105" s="7" t="s">
        <v>19</v>
      </c>
      <c r="H105" s="4">
        <f t="shared" si="30"/>
        <v>67.303952999999993</v>
      </c>
      <c r="I105" s="4">
        <f t="shared" si="31"/>
        <v>0</v>
      </c>
      <c r="J105" s="4">
        <f t="shared" si="32"/>
        <v>20.189695635</v>
      </c>
      <c r="K105" s="1">
        <v>16</v>
      </c>
    </row>
    <row r="106" spans="1:11">
      <c r="A106" s="7" t="s">
        <v>20</v>
      </c>
      <c r="B106">
        <v>17</v>
      </c>
      <c r="C106" s="4">
        <f t="shared" si="27"/>
        <v>79</v>
      </c>
      <c r="D106" s="4">
        <f t="shared" si="28"/>
        <v>0</v>
      </c>
      <c r="E106" s="4">
        <f t="shared" si="29"/>
        <v>23.7</v>
      </c>
      <c r="F106" s="1">
        <v>17</v>
      </c>
      <c r="G106" s="7" t="s">
        <v>20</v>
      </c>
      <c r="H106" s="4">
        <f t="shared" si="30"/>
        <v>100.962</v>
      </c>
      <c r="I106" s="4">
        <f t="shared" si="31"/>
        <v>0</v>
      </c>
      <c r="J106" s="4">
        <f t="shared" si="32"/>
        <v>30.264899999999997</v>
      </c>
      <c r="K106" s="1">
        <v>17</v>
      </c>
    </row>
    <row r="107" spans="1:11">
      <c r="A107" s="7" t="s">
        <v>21</v>
      </c>
      <c r="B107">
        <v>18</v>
      </c>
      <c r="C107" s="4">
        <f t="shared" si="27"/>
        <v>72.091445330881939</v>
      </c>
      <c r="D107" s="4">
        <f t="shared" si="28"/>
        <v>0</v>
      </c>
      <c r="E107" s="4">
        <f t="shared" si="29"/>
        <v>19.766154510841684</v>
      </c>
      <c r="F107" s="1">
        <v>18</v>
      </c>
      <c r="G107" s="7" t="s">
        <v>21</v>
      </c>
      <c r="H107" s="4">
        <f t="shared" si="30"/>
        <v>92.132867132867119</v>
      </c>
      <c r="I107" s="4">
        <f t="shared" si="31"/>
        <v>0</v>
      </c>
      <c r="J107" s="4">
        <f t="shared" si="32"/>
        <v>25.241379310344829</v>
      </c>
      <c r="K107" s="1">
        <v>18</v>
      </c>
    </row>
    <row r="108" spans="1:11">
      <c r="A108" s="7" t="s">
        <v>22</v>
      </c>
      <c r="B108">
        <v>19</v>
      </c>
      <c r="C108" s="4">
        <f t="shared" si="27"/>
        <v>79.029733959311429</v>
      </c>
      <c r="D108" s="4">
        <f t="shared" si="28"/>
        <v>0</v>
      </c>
      <c r="E108" s="4">
        <f t="shared" si="29"/>
        <v>15.81832419733751</v>
      </c>
      <c r="F108" s="1">
        <v>19</v>
      </c>
      <c r="G108" s="7" t="s">
        <v>22</v>
      </c>
      <c r="H108" s="4">
        <f t="shared" si="30"/>
        <v>101</v>
      </c>
      <c r="I108" s="4">
        <f t="shared" si="31"/>
        <v>0</v>
      </c>
      <c r="J108" s="4">
        <f t="shared" si="32"/>
        <v>20.2</v>
      </c>
      <c r="K108" s="1">
        <v>19</v>
      </c>
    </row>
    <row r="109" spans="1:11">
      <c r="A109" s="7" t="s">
        <v>23</v>
      </c>
      <c r="B109">
        <v>20</v>
      </c>
      <c r="C109" s="4">
        <f t="shared" si="27"/>
        <v>52.663499999999992</v>
      </c>
      <c r="D109" s="4">
        <f t="shared" si="28"/>
        <v>0</v>
      </c>
      <c r="E109" s="4">
        <f t="shared" si="29"/>
        <v>15.418160676000003</v>
      </c>
      <c r="F109" s="1">
        <v>20</v>
      </c>
      <c r="G109" s="7" t="s">
        <v>23</v>
      </c>
      <c r="H109" s="4">
        <f t="shared" si="30"/>
        <v>67.303952999999993</v>
      </c>
      <c r="I109" s="4">
        <f t="shared" si="31"/>
        <v>0</v>
      </c>
      <c r="J109" s="4">
        <f t="shared" si="32"/>
        <v>19.688991183252003</v>
      </c>
      <c r="K109" s="1">
        <v>20</v>
      </c>
    </row>
    <row r="110" spans="1:11">
      <c r="A110" s="7" t="s">
        <v>24</v>
      </c>
      <c r="B110">
        <v>21</v>
      </c>
      <c r="C110" s="4">
        <f t="shared" si="27"/>
        <v>79</v>
      </c>
      <c r="D110" s="4">
        <f t="shared" si="28"/>
        <v>0</v>
      </c>
      <c r="E110" s="4">
        <f t="shared" si="29"/>
        <v>15.8</v>
      </c>
      <c r="F110" s="1">
        <v>21</v>
      </c>
      <c r="G110" s="7" t="s">
        <v>24</v>
      </c>
      <c r="H110" s="4">
        <f t="shared" si="30"/>
        <v>100.962</v>
      </c>
      <c r="I110" s="4">
        <f t="shared" si="31"/>
        <v>0</v>
      </c>
      <c r="J110" s="4">
        <f t="shared" si="32"/>
        <v>20.176600000000001</v>
      </c>
      <c r="K110" s="1">
        <v>21</v>
      </c>
    </row>
    <row r="111" spans="1:11">
      <c r="A111" s="7" t="s">
        <v>25</v>
      </c>
      <c r="B111">
        <v>22</v>
      </c>
      <c r="C111" s="4">
        <f t="shared" si="27"/>
        <v>52.70000000000001</v>
      </c>
      <c r="D111" s="4">
        <f t="shared" si="28"/>
        <v>0</v>
      </c>
      <c r="E111" s="4">
        <f t="shared" si="29"/>
        <v>15.8</v>
      </c>
      <c r="F111" s="1">
        <v>22</v>
      </c>
      <c r="G111" s="7" t="s">
        <v>25</v>
      </c>
      <c r="H111" s="4">
        <f t="shared" si="30"/>
        <v>67.350600000000014</v>
      </c>
      <c r="I111" s="4">
        <f t="shared" si="31"/>
        <v>0</v>
      </c>
      <c r="J111" s="4">
        <f t="shared" si="32"/>
        <v>20.176600000000001</v>
      </c>
      <c r="K111" s="1">
        <v>22</v>
      </c>
    </row>
    <row r="112" spans="1:11">
      <c r="A112" s="7" t="s">
        <v>26</v>
      </c>
      <c r="B112">
        <v>23</v>
      </c>
      <c r="C112" s="4">
        <f t="shared" si="27"/>
        <v>105.39906103286384</v>
      </c>
      <c r="D112" s="4">
        <f t="shared" si="28"/>
        <v>0</v>
      </c>
      <c r="E112" s="4">
        <f t="shared" si="29"/>
        <v>25.309318715740016</v>
      </c>
      <c r="F112" s="1">
        <v>23</v>
      </c>
      <c r="G112" s="7" t="s">
        <v>26</v>
      </c>
      <c r="H112" s="4">
        <f t="shared" si="30"/>
        <v>134.69999999999999</v>
      </c>
      <c r="I112" s="4">
        <f t="shared" si="31"/>
        <v>0</v>
      </c>
      <c r="J112" s="4">
        <f t="shared" si="32"/>
        <v>32.32</v>
      </c>
      <c r="K112" s="1">
        <v>23</v>
      </c>
    </row>
    <row r="113" spans="1:11">
      <c r="A113" s="7" t="s">
        <v>27</v>
      </c>
      <c r="B113">
        <v>24</v>
      </c>
      <c r="C113" s="4">
        <f t="shared" si="27"/>
        <v>126.39999999999999</v>
      </c>
      <c r="D113" s="4">
        <f t="shared" si="28"/>
        <v>0</v>
      </c>
      <c r="E113" s="4">
        <f t="shared" si="29"/>
        <v>21.07</v>
      </c>
      <c r="F113" s="1">
        <v>24</v>
      </c>
      <c r="G113" s="7" t="s">
        <v>27</v>
      </c>
      <c r="H113" s="4">
        <f t="shared" si="30"/>
        <v>161.53919999999999</v>
      </c>
      <c r="I113" s="4">
        <f t="shared" si="31"/>
        <v>0</v>
      </c>
      <c r="J113" s="4">
        <f t="shared" si="32"/>
        <v>26.906389999999998</v>
      </c>
      <c r="K113" s="1">
        <v>24</v>
      </c>
    </row>
    <row r="114" spans="1:11">
      <c r="A114" s="7" t="s">
        <v>28</v>
      </c>
      <c r="B114">
        <v>25</v>
      </c>
      <c r="C114" s="4">
        <f t="shared" si="27"/>
        <v>57.433489827856029</v>
      </c>
      <c r="D114" s="4">
        <f t="shared" si="28"/>
        <v>0</v>
      </c>
      <c r="E114" s="4">
        <f t="shared" si="29"/>
        <v>23.684523930000005</v>
      </c>
      <c r="F114" s="1">
        <v>25</v>
      </c>
      <c r="G114" s="7" t="s">
        <v>28</v>
      </c>
      <c r="H114" s="4">
        <f t="shared" si="30"/>
        <v>73.400000000000006</v>
      </c>
      <c r="I114" s="4">
        <f t="shared" si="31"/>
        <v>0</v>
      </c>
      <c r="J114" s="4">
        <f t="shared" si="32"/>
        <v>30.245137058610005</v>
      </c>
      <c r="K114" s="1">
        <v>25</v>
      </c>
    </row>
    <row r="115" spans="1:11">
      <c r="A115" s="7" t="s">
        <v>29</v>
      </c>
      <c r="B115">
        <v>26</v>
      </c>
      <c r="C115" s="4">
        <f t="shared" si="27"/>
        <v>38.610061019999996</v>
      </c>
      <c r="D115" s="4">
        <f t="shared" si="28"/>
        <v>0</v>
      </c>
      <c r="E115" s="4">
        <f t="shared" si="29"/>
        <v>9.8492015362500016</v>
      </c>
      <c r="F115" s="1">
        <v>26</v>
      </c>
      <c r="G115" s="7" t="s">
        <v>29</v>
      </c>
      <c r="H115" s="4">
        <f t="shared" si="30"/>
        <v>49.34365798356</v>
      </c>
      <c r="I115" s="4">
        <f t="shared" si="31"/>
        <v>0</v>
      </c>
      <c r="J115" s="4">
        <f t="shared" si="32"/>
        <v>12.577430361791251</v>
      </c>
      <c r="K115" s="1">
        <v>26</v>
      </c>
    </row>
    <row r="116" spans="1:11">
      <c r="A116" s="7" t="s">
        <v>30</v>
      </c>
      <c r="B116">
        <v>27</v>
      </c>
      <c r="C116" s="4">
        <f t="shared" si="27"/>
        <v>231.66036611999996</v>
      </c>
      <c r="D116" s="4">
        <f t="shared" si="28"/>
        <v>0</v>
      </c>
      <c r="E116" s="4">
        <f t="shared" si="29"/>
        <v>39.435506347500002</v>
      </c>
      <c r="F116" s="1">
        <v>27</v>
      </c>
      <c r="G116" s="7" t="s">
        <v>30</v>
      </c>
      <c r="H116" s="4">
        <f t="shared" si="30"/>
        <v>296.06194790135999</v>
      </c>
      <c r="I116" s="4">
        <f t="shared" si="31"/>
        <v>0</v>
      </c>
      <c r="J116" s="4">
        <f t="shared" si="32"/>
        <v>50.3591416057575</v>
      </c>
      <c r="K116" s="1">
        <v>27</v>
      </c>
    </row>
    <row r="117" spans="1:11">
      <c r="A117" s="7" t="s">
        <v>31</v>
      </c>
      <c r="B117">
        <v>28</v>
      </c>
      <c r="C117" s="4">
        <f t="shared" si="27"/>
        <v>122.30621999999998</v>
      </c>
      <c r="D117" s="4">
        <f t="shared" si="28"/>
        <v>0</v>
      </c>
      <c r="E117" s="4">
        <f t="shared" si="29"/>
        <v>23.7</v>
      </c>
      <c r="F117" s="1">
        <v>28</v>
      </c>
      <c r="G117" s="7" t="s">
        <v>31</v>
      </c>
      <c r="H117" s="4">
        <f t="shared" si="30"/>
        <v>156.30734916</v>
      </c>
      <c r="I117" s="4">
        <f t="shared" si="31"/>
        <v>0</v>
      </c>
      <c r="J117" s="4">
        <f t="shared" si="32"/>
        <v>30.264899999999997</v>
      </c>
      <c r="K117" s="1">
        <v>28</v>
      </c>
    </row>
    <row r="118" spans="1:11">
      <c r="A118" s="7" t="s">
        <v>32</v>
      </c>
      <c r="B118">
        <v>29</v>
      </c>
      <c r="C118" s="4">
        <f t="shared" si="27"/>
        <v>146.76746399999999</v>
      </c>
      <c r="D118" s="4">
        <f t="shared" si="28"/>
        <v>0</v>
      </c>
      <c r="E118" s="4">
        <f t="shared" si="29"/>
        <v>23.7</v>
      </c>
      <c r="F118" s="1">
        <v>29</v>
      </c>
      <c r="G118" s="7" t="s">
        <v>32</v>
      </c>
      <c r="H118" s="4">
        <f t="shared" si="30"/>
        <v>187.56881899199999</v>
      </c>
      <c r="I118" s="4">
        <f t="shared" si="31"/>
        <v>0</v>
      </c>
      <c r="J118" s="4">
        <f t="shared" si="32"/>
        <v>30.264899999999997</v>
      </c>
      <c r="K118" s="1">
        <v>29</v>
      </c>
    </row>
    <row r="119" spans="1:11">
      <c r="A119" s="7" t="s">
        <v>33</v>
      </c>
      <c r="B119">
        <v>30</v>
      </c>
      <c r="C119" s="4">
        <f t="shared" si="27"/>
        <v>156.36617999999996</v>
      </c>
      <c r="D119" s="4">
        <f t="shared" si="28"/>
        <v>0</v>
      </c>
      <c r="E119" s="4">
        <f t="shared" si="29"/>
        <v>15.81832419733751</v>
      </c>
      <c r="F119" s="1">
        <v>30</v>
      </c>
      <c r="G119" s="7" t="s">
        <v>33</v>
      </c>
      <c r="H119" s="4">
        <f t="shared" si="30"/>
        <v>199.83597803999996</v>
      </c>
      <c r="I119" s="4">
        <f t="shared" si="31"/>
        <v>0</v>
      </c>
      <c r="J119" s="4">
        <f t="shared" si="32"/>
        <v>20.2</v>
      </c>
      <c r="K119" s="1">
        <v>30</v>
      </c>
    </row>
    <row r="120" spans="1:11">
      <c r="A120" s="7" t="s">
        <v>34</v>
      </c>
      <c r="B120">
        <v>31</v>
      </c>
      <c r="C120" s="4">
        <f t="shared" si="27"/>
        <v>39.514866979655714</v>
      </c>
      <c r="D120" s="4">
        <f t="shared" si="28"/>
        <v>0</v>
      </c>
      <c r="E120" s="4">
        <f t="shared" si="29"/>
        <v>11.863743148003133</v>
      </c>
      <c r="F120" s="1">
        <v>31</v>
      </c>
      <c r="G120" s="7" t="s">
        <v>34</v>
      </c>
      <c r="H120" s="4">
        <f t="shared" si="30"/>
        <v>50.5</v>
      </c>
      <c r="I120" s="4">
        <f t="shared" si="31"/>
        <v>0</v>
      </c>
      <c r="J120" s="4">
        <f t="shared" si="32"/>
        <v>15.15</v>
      </c>
      <c r="K120" s="1">
        <v>31</v>
      </c>
    </row>
    <row r="121" spans="1:11">
      <c r="A121" s="7" t="s">
        <v>35</v>
      </c>
      <c r="B121">
        <v>32</v>
      </c>
      <c r="C121" s="4">
        <f t="shared" si="27"/>
        <v>32.05584191499684</v>
      </c>
      <c r="D121" s="4">
        <f t="shared" si="28"/>
        <v>0</v>
      </c>
      <c r="E121" s="4">
        <f t="shared" si="29"/>
        <v>15.81172347785909</v>
      </c>
      <c r="F121" s="1">
        <v>32</v>
      </c>
      <c r="G121" s="7" t="s">
        <v>35</v>
      </c>
      <c r="H121" s="4">
        <f t="shared" si="30"/>
        <v>40.967365967365964</v>
      </c>
      <c r="I121" s="4">
        <f t="shared" si="31"/>
        <v>0</v>
      </c>
      <c r="J121" s="4">
        <f t="shared" si="32"/>
        <v>20.191570881226056</v>
      </c>
      <c r="K121" s="1">
        <v>32</v>
      </c>
    </row>
    <row r="122" spans="1:11">
      <c r="A122" s="7" t="s">
        <v>36</v>
      </c>
      <c r="B122">
        <v>33</v>
      </c>
      <c r="C122" s="4">
        <f t="shared" si="27"/>
        <v>144.18289066176388</v>
      </c>
      <c r="D122" s="4">
        <f t="shared" si="28"/>
        <v>0</v>
      </c>
      <c r="E122" s="4">
        <f t="shared" si="29"/>
        <v>39.532309021683368</v>
      </c>
      <c r="F122" s="1">
        <v>33</v>
      </c>
      <c r="G122" s="7" t="s">
        <v>36</v>
      </c>
      <c r="H122" s="4">
        <f t="shared" si="30"/>
        <v>184.26573426573424</v>
      </c>
      <c r="I122" s="4">
        <f t="shared" si="31"/>
        <v>0</v>
      </c>
      <c r="J122" s="4">
        <f t="shared" si="32"/>
        <v>50.482758620689658</v>
      </c>
      <c r="K122" s="1">
        <v>33</v>
      </c>
    </row>
    <row r="123" spans="1:11">
      <c r="A123" s="7" t="s">
        <v>37</v>
      </c>
      <c r="B123">
        <v>34</v>
      </c>
      <c r="C123" s="4">
        <f t="shared" si="27"/>
        <v>34.820116379999995</v>
      </c>
      <c r="D123" s="4">
        <f t="shared" si="28"/>
        <v>0</v>
      </c>
      <c r="E123" s="4">
        <f t="shared" si="29"/>
        <v>8.8623463725000011</v>
      </c>
      <c r="F123" s="1">
        <v>34</v>
      </c>
      <c r="G123" s="7" t="s">
        <v>37</v>
      </c>
      <c r="H123" s="4">
        <f t="shared" si="30"/>
        <v>44.500108733639991</v>
      </c>
      <c r="I123" s="4">
        <f t="shared" si="31"/>
        <v>0</v>
      </c>
      <c r="J123" s="4">
        <f t="shared" si="32"/>
        <v>11.317216317682501</v>
      </c>
      <c r="K123" s="1">
        <v>34</v>
      </c>
    </row>
    <row r="124" spans="1:11">
      <c r="A124" s="7" t="s">
        <v>38</v>
      </c>
      <c r="B124">
        <v>35</v>
      </c>
      <c r="C124" s="4">
        <f t="shared" si="27"/>
        <v>22.758245999999996</v>
      </c>
      <c r="D124" s="4">
        <f t="shared" si="28"/>
        <v>236.87153999999998</v>
      </c>
      <c r="E124" s="4">
        <f t="shared" si="29"/>
        <v>14.210714358000001</v>
      </c>
      <c r="F124" s="1">
        <v>35</v>
      </c>
      <c r="G124" s="7" t="s">
        <v>38</v>
      </c>
      <c r="H124" s="4">
        <f t="shared" si="30"/>
        <v>29.085038387999997</v>
      </c>
      <c r="I124" s="4">
        <f t="shared" si="31"/>
        <v>302.72182811999994</v>
      </c>
      <c r="J124" s="4">
        <f t="shared" si="32"/>
        <v>18.147082235166</v>
      </c>
      <c r="K124" s="1">
        <v>35</v>
      </c>
    </row>
    <row r="129" spans="1:10">
      <c r="B129" s="1" t="s">
        <v>50</v>
      </c>
      <c r="C129" s="1" t="s">
        <v>1</v>
      </c>
      <c r="D129" s="1" t="s">
        <v>2</v>
      </c>
      <c r="E129" s="1" t="s">
        <v>3</v>
      </c>
      <c r="G129" s="1"/>
      <c r="H129" s="1"/>
      <c r="I129" s="1"/>
      <c r="J129" s="1"/>
    </row>
    <row r="130" spans="1:10">
      <c r="A130" s="7" t="s">
        <v>4</v>
      </c>
      <c r="B130">
        <v>1</v>
      </c>
      <c r="C130" s="4">
        <f>$H2*$H$44</f>
        <v>78.707675311199978</v>
      </c>
      <c r="D130" s="4">
        <f>$I2*$H$44</f>
        <v>0</v>
      </c>
      <c r="E130" s="4">
        <f>$J2*$I$44</f>
        <v>23.681942316891625</v>
      </c>
      <c r="F130" s="1">
        <v>1</v>
      </c>
      <c r="G130" s="1"/>
      <c r="H130" s="1"/>
      <c r="I130" s="1"/>
      <c r="J130" s="1"/>
    </row>
    <row r="131" spans="1:10">
      <c r="A131" s="7" t="s">
        <v>5</v>
      </c>
      <c r="B131">
        <v>2</v>
      </c>
      <c r="C131" s="4">
        <f t="shared" ref="C131:C164" si="33">$H3*$H$44</f>
        <v>77.133521804975985</v>
      </c>
      <c r="D131" s="4">
        <f t="shared" ref="D131:D164" si="34">$I3*$H$44</f>
        <v>0</v>
      </c>
      <c r="E131" s="4">
        <f t="shared" ref="E131:E164" si="35">$J3*$I$44</f>
        <v>15.762164221809133</v>
      </c>
      <c r="F131" s="1">
        <v>2</v>
      </c>
      <c r="G131" s="1"/>
      <c r="H131" s="1"/>
      <c r="I131" s="1"/>
      <c r="J131" s="1"/>
    </row>
    <row r="132" spans="1:10">
      <c r="A132" s="7" t="s">
        <v>6</v>
      </c>
      <c r="B132">
        <v>3</v>
      </c>
      <c r="C132" s="4">
        <f t="shared" si="33"/>
        <v>497.43250796678393</v>
      </c>
      <c r="D132" s="4">
        <f t="shared" si="34"/>
        <v>0</v>
      </c>
      <c r="E132" s="4">
        <f t="shared" si="35"/>
        <v>81.519540001500602</v>
      </c>
      <c r="F132" s="1">
        <v>3</v>
      </c>
      <c r="G132" s="1"/>
      <c r="H132" s="1"/>
      <c r="I132" s="1"/>
      <c r="J132" s="1"/>
    </row>
    <row r="133" spans="1:10">
      <c r="A133" s="7" t="s">
        <v>7</v>
      </c>
      <c r="B133">
        <v>4</v>
      </c>
      <c r="C133" s="4">
        <f t="shared" si="33"/>
        <v>147.93999999999997</v>
      </c>
      <c r="D133" s="4">
        <f t="shared" si="34"/>
        <v>0</v>
      </c>
      <c r="E133" s="4">
        <f t="shared" si="35"/>
        <v>30.928499999999993</v>
      </c>
      <c r="F133" s="1">
        <v>4</v>
      </c>
      <c r="G133" s="1"/>
      <c r="H133" s="1"/>
      <c r="I133" s="1"/>
      <c r="J133" s="1"/>
    </row>
    <row r="134" spans="1:10">
      <c r="A134" s="7" t="s">
        <v>8</v>
      </c>
      <c r="B134">
        <v>5</v>
      </c>
      <c r="C134" s="4">
        <f t="shared" si="33"/>
        <v>157.55999999999997</v>
      </c>
      <c r="D134" s="4">
        <f t="shared" si="34"/>
        <v>0</v>
      </c>
      <c r="E134" s="4">
        <f t="shared" si="35"/>
        <v>31.633199999999988</v>
      </c>
      <c r="F134" s="1">
        <v>5</v>
      </c>
      <c r="G134" s="1"/>
      <c r="H134" s="1"/>
      <c r="I134" s="1"/>
      <c r="J134" s="1"/>
    </row>
    <row r="135" spans="1:10">
      <c r="A135" s="7" t="s">
        <v>9</v>
      </c>
      <c r="B135">
        <v>6</v>
      </c>
      <c r="C135" s="4">
        <f t="shared" si="33"/>
        <v>13.129999999999999</v>
      </c>
      <c r="D135" s="4">
        <f t="shared" si="34"/>
        <v>393.9</v>
      </c>
      <c r="E135" s="4">
        <f t="shared" si="35"/>
        <v>31.633199999999988</v>
      </c>
      <c r="F135" s="1">
        <v>6</v>
      </c>
      <c r="G135" s="1"/>
      <c r="H135" s="1"/>
      <c r="I135" s="1"/>
      <c r="J135" s="1"/>
    </row>
    <row r="136" spans="1:10">
      <c r="A136" s="7" t="s">
        <v>10</v>
      </c>
      <c r="B136">
        <v>7</v>
      </c>
      <c r="C136" s="4">
        <f t="shared" si="33"/>
        <v>52.519999999999996</v>
      </c>
      <c r="D136" s="4">
        <f t="shared" si="34"/>
        <v>0</v>
      </c>
      <c r="E136" s="4">
        <f t="shared" si="35"/>
        <v>16.469099999999997</v>
      </c>
      <c r="F136" s="1">
        <v>7</v>
      </c>
      <c r="G136" s="1"/>
      <c r="H136" s="1"/>
      <c r="I136" s="1"/>
      <c r="J136" s="1"/>
    </row>
    <row r="137" spans="1:10">
      <c r="A137" s="7" t="s">
        <v>11</v>
      </c>
      <c r="B137">
        <v>8</v>
      </c>
      <c r="C137" s="4">
        <f t="shared" si="33"/>
        <v>131.29999999999998</v>
      </c>
      <c r="D137" s="4">
        <f t="shared" si="34"/>
        <v>0</v>
      </c>
      <c r="E137" s="4">
        <f t="shared" si="35"/>
        <v>26.360999999999994</v>
      </c>
      <c r="F137" s="1">
        <v>8</v>
      </c>
      <c r="G137" s="1"/>
      <c r="H137" s="1"/>
      <c r="I137" s="1"/>
      <c r="J137" s="1"/>
    </row>
    <row r="138" spans="1:10">
      <c r="A138" s="7" t="s">
        <v>12</v>
      </c>
      <c r="B138">
        <v>9</v>
      </c>
      <c r="C138" s="4">
        <f t="shared" si="33"/>
        <v>79.099999999999994</v>
      </c>
      <c r="D138" s="4">
        <f t="shared" si="34"/>
        <v>0</v>
      </c>
      <c r="E138" s="4">
        <f t="shared" si="35"/>
        <v>19.760000000000002</v>
      </c>
      <c r="F138" s="1">
        <v>9</v>
      </c>
      <c r="G138" s="1"/>
      <c r="H138" s="1"/>
      <c r="I138" s="1"/>
      <c r="J138" s="1"/>
    </row>
    <row r="139" spans="1:10">
      <c r="A139" s="7" t="s">
        <v>13</v>
      </c>
      <c r="B139">
        <v>10</v>
      </c>
      <c r="C139" s="4">
        <f t="shared" si="33"/>
        <v>104.99416667999998</v>
      </c>
      <c r="D139" s="4">
        <f t="shared" si="34"/>
        <v>0</v>
      </c>
      <c r="E139" s="4">
        <f t="shared" si="35"/>
        <v>31.617063364409994</v>
      </c>
      <c r="F139" s="1">
        <v>10</v>
      </c>
      <c r="G139" s="1"/>
      <c r="H139" s="1"/>
      <c r="I139" s="1"/>
      <c r="J139" s="1"/>
    </row>
    <row r="140" spans="1:10">
      <c r="A140" s="7" t="s">
        <v>14</v>
      </c>
      <c r="B140">
        <v>11</v>
      </c>
      <c r="C140" s="4">
        <f t="shared" si="33"/>
        <v>52.471783540799983</v>
      </c>
      <c r="D140" s="4">
        <f t="shared" si="34"/>
        <v>0</v>
      </c>
      <c r="E140" s="4">
        <f t="shared" si="35"/>
        <v>19.734951930743023</v>
      </c>
      <c r="F140" s="1">
        <v>11</v>
      </c>
      <c r="G140" s="1"/>
      <c r="H140" s="1"/>
      <c r="I140" s="1"/>
      <c r="J140" s="1"/>
    </row>
    <row r="141" spans="1:10">
      <c r="A141" s="7" t="s">
        <v>15</v>
      </c>
      <c r="B141">
        <v>12</v>
      </c>
      <c r="C141" s="4">
        <f t="shared" si="33"/>
        <v>126.03516634799998</v>
      </c>
      <c r="D141" s="4">
        <f t="shared" si="34"/>
        <v>0</v>
      </c>
      <c r="E141" s="4">
        <f t="shared" si="35"/>
        <v>39.469903861486046</v>
      </c>
      <c r="F141" s="1">
        <v>12</v>
      </c>
      <c r="G141" s="1"/>
      <c r="H141" s="1"/>
      <c r="I141" s="1"/>
      <c r="J141" s="1"/>
    </row>
    <row r="142" spans="1:10">
      <c r="A142" s="7" t="s">
        <v>16</v>
      </c>
      <c r="B142">
        <v>13</v>
      </c>
      <c r="C142" s="4">
        <f t="shared" si="33"/>
        <v>70.069999999999993</v>
      </c>
      <c r="D142" s="4">
        <f t="shared" si="34"/>
        <v>0</v>
      </c>
      <c r="E142" s="4">
        <f t="shared" si="35"/>
        <v>43.416894247634644</v>
      </c>
      <c r="F142" s="1">
        <v>13</v>
      </c>
      <c r="G142" s="1"/>
      <c r="H142" s="1"/>
      <c r="I142" s="1"/>
      <c r="J142" s="1"/>
    </row>
    <row r="143" spans="1:10">
      <c r="A143" s="7" t="s">
        <v>17</v>
      </c>
      <c r="B143">
        <v>14</v>
      </c>
      <c r="C143" s="4">
        <f t="shared" si="33"/>
        <v>52.519999999999996</v>
      </c>
      <c r="D143" s="4">
        <f t="shared" si="34"/>
        <v>0</v>
      </c>
      <c r="E143" s="4">
        <f t="shared" si="35"/>
        <v>16.469099999999997</v>
      </c>
      <c r="F143" s="1">
        <v>14</v>
      </c>
      <c r="G143" s="1"/>
      <c r="H143" s="1"/>
      <c r="I143" s="1"/>
      <c r="J143" s="1"/>
    </row>
    <row r="144" spans="1:10">
      <c r="A144" s="7" t="s">
        <v>18</v>
      </c>
      <c r="B144">
        <v>15</v>
      </c>
      <c r="C144" s="4">
        <f t="shared" si="33"/>
        <v>159.69696969696969</v>
      </c>
      <c r="D144" s="4">
        <f t="shared" si="34"/>
        <v>0</v>
      </c>
      <c r="E144" s="4">
        <f t="shared" si="35"/>
        <v>52.699999999999996</v>
      </c>
      <c r="F144" s="1">
        <v>15</v>
      </c>
      <c r="G144" s="1"/>
      <c r="H144" s="1"/>
      <c r="I144" s="1"/>
      <c r="J144" s="1"/>
    </row>
    <row r="145" spans="1:10">
      <c r="A145" s="7" t="s">
        <v>19</v>
      </c>
      <c r="B145">
        <v>16</v>
      </c>
      <c r="C145" s="4">
        <f t="shared" si="33"/>
        <v>87.495138899999972</v>
      </c>
      <c r="D145" s="4">
        <f t="shared" si="34"/>
        <v>0</v>
      </c>
      <c r="E145" s="4">
        <f t="shared" si="35"/>
        <v>26.347552803674994</v>
      </c>
      <c r="F145" s="1">
        <v>16</v>
      </c>
      <c r="G145" s="1"/>
      <c r="H145" s="1"/>
      <c r="I145" s="1"/>
      <c r="J145" s="1"/>
    </row>
    <row r="146" spans="1:10">
      <c r="A146" s="7" t="s">
        <v>20</v>
      </c>
      <c r="B146">
        <v>17</v>
      </c>
      <c r="C146" s="4">
        <f t="shared" si="33"/>
        <v>131.25059999999999</v>
      </c>
      <c r="D146" s="4">
        <f t="shared" si="34"/>
        <v>0</v>
      </c>
      <c r="E146" s="4">
        <f t="shared" si="35"/>
        <v>39.495694499999992</v>
      </c>
      <c r="F146" s="1">
        <v>17</v>
      </c>
      <c r="G146" s="1"/>
      <c r="H146" s="1"/>
      <c r="I146" s="1"/>
      <c r="J146" s="1"/>
    </row>
    <row r="147" spans="1:10">
      <c r="A147" s="7" t="s">
        <v>21</v>
      </c>
      <c r="B147">
        <v>18</v>
      </c>
      <c r="C147" s="4">
        <f t="shared" si="33"/>
        <v>119.77272727272724</v>
      </c>
      <c r="D147" s="4">
        <f t="shared" si="34"/>
        <v>0</v>
      </c>
      <c r="E147" s="4">
        <f t="shared" si="35"/>
        <v>32.94</v>
      </c>
      <c r="F147" s="1">
        <v>18</v>
      </c>
      <c r="G147" s="1"/>
      <c r="H147" s="1"/>
      <c r="I147" s="1"/>
      <c r="J147" s="1"/>
    </row>
    <row r="148" spans="1:10">
      <c r="A148" s="7" t="s">
        <v>22</v>
      </c>
      <c r="B148">
        <v>19</v>
      </c>
      <c r="C148" s="4">
        <f t="shared" si="33"/>
        <v>131.29999999999998</v>
      </c>
      <c r="D148" s="4">
        <f t="shared" si="34"/>
        <v>0</v>
      </c>
      <c r="E148" s="4">
        <f t="shared" si="35"/>
        <v>26.360999999999994</v>
      </c>
      <c r="F148" s="1">
        <v>19</v>
      </c>
      <c r="G148" s="1"/>
      <c r="H148" s="1"/>
      <c r="I148" s="1"/>
      <c r="J148" s="1"/>
    </row>
    <row r="149" spans="1:10">
      <c r="A149" s="7" t="s">
        <v>23</v>
      </c>
      <c r="B149">
        <v>20</v>
      </c>
      <c r="C149" s="4">
        <f t="shared" si="33"/>
        <v>87.495138899999972</v>
      </c>
      <c r="D149" s="4">
        <f t="shared" si="34"/>
        <v>0</v>
      </c>
      <c r="E149" s="4">
        <f t="shared" si="35"/>
        <v>25.694133494143859</v>
      </c>
      <c r="F149" s="1">
        <v>20</v>
      </c>
      <c r="G149" s="1"/>
      <c r="H149" s="1"/>
      <c r="I149" s="1"/>
      <c r="J149" s="1"/>
    </row>
    <row r="150" spans="1:10">
      <c r="A150" s="7" t="s">
        <v>24</v>
      </c>
      <c r="B150">
        <v>21</v>
      </c>
      <c r="C150" s="4">
        <f t="shared" si="33"/>
        <v>131.25059999999999</v>
      </c>
      <c r="D150" s="4">
        <f t="shared" si="34"/>
        <v>0</v>
      </c>
      <c r="E150" s="4">
        <f t="shared" si="35"/>
        <v>26.330462999999995</v>
      </c>
      <c r="F150" s="1">
        <v>21</v>
      </c>
      <c r="G150" s="1"/>
      <c r="H150" s="1"/>
      <c r="I150" s="1"/>
      <c r="J150" s="1"/>
    </row>
    <row r="151" spans="1:10">
      <c r="A151" s="7" t="s">
        <v>25</v>
      </c>
      <c r="B151">
        <v>22</v>
      </c>
      <c r="C151" s="4">
        <f t="shared" si="33"/>
        <v>87.555780000000013</v>
      </c>
      <c r="D151" s="4">
        <f t="shared" si="34"/>
        <v>0</v>
      </c>
      <c r="E151" s="4">
        <f t="shared" si="35"/>
        <v>26.330462999999995</v>
      </c>
      <c r="F151" s="1">
        <v>22</v>
      </c>
      <c r="G151" s="1"/>
      <c r="H151" s="1"/>
      <c r="I151" s="1"/>
      <c r="J151" s="1"/>
    </row>
    <row r="152" spans="1:10">
      <c r="A152" s="7" t="s">
        <v>26</v>
      </c>
      <c r="B152">
        <v>23</v>
      </c>
      <c r="C152" s="4">
        <f t="shared" si="33"/>
        <v>175.10999999999999</v>
      </c>
      <c r="D152" s="4">
        <f t="shared" si="34"/>
        <v>0</v>
      </c>
      <c r="E152" s="4">
        <f t="shared" si="35"/>
        <v>42.177599999999991</v>
      </c>
      <c r="F152" s="1">
        <v>23</v>
      </c>
      <c r="G152" s="1"/>
      <c r="H152" s="1"/>
      <c r="I152" s="1"/>
      <c r="J152" s="1"/>
    </row>
    <row r="153" spans="1:10">
      <c r="A153" s="7" t="s">
        <v>27</v>
      </c>
      <c r="B153">
        <v>24</v>
      </c>
      <c r="C153" s="4">
        <f t="shared" si="33"/>
        <v>210.00095999999999</v>
      </c>
      <c r="D153" s="4">
        <f t="shared" si="34"/>
        <v>0</v>
      </c>
      <c r="E153" s="4">
        <f t="shared" si="35"/>
        <v>35.11283894999999</v>
      </c>
      <c r="F153" s="1">
        <v>24</v>
      </c>
      <c r="G153" s="1"/>
      <c r="H153" s="1"/>
      <c r="I153" s="1"/>
      <c r="J153" s="1"/>
    </row>
    <row r="154" spans="1:10">
      <c r="A154" s="7" t="s">
        <v>28</v>
      </c>
      <c r="B154">
        <v>25</v>
      </c>
      <c r="C154" s="4">
        <f t="shared" si="33"/>
        <v>95.42</v>
      </c>
      <c r="D154" s="4">
        <f t="shared" si="34"/>
        <v>0</v>
      </c>
      <c r="E154" s="4">
        <f t="shared" si="35"/>
        <v>39.469903861486046</v>
      </c>
      <c r="F154" s="1">
        <v>25</v>
      </c>
      <c r="G154" s="1"/>
      <c r="H154" s="1"/>
      <c r="I154" s="1"/>
      <c r="J154" s="1"/>
    </row>
    <row r="155" spans="1:10">
      <c r="A155" s="7" t="s">
        <v>29</v>
      </c>
      <c r="B155">
        <v>26</v>
      </c>
      <c r="C155" s="4">
        <f t="shared" si="33"/>
        <v>64.146755378627986</v>
      </c>
      <c r="D155" s="4">
        <f t="shared" si="34"/>
        <v>0</v>
      </c>
      <c r="E155" s="4">
        <f t="shared" si="35"/>
        <v>16.413546622137581</v>
      </c>
      <c r="F155" s="1">
        <v>26</v>
      </c>
      <c r="G155" s="1"/>
      <c r="H155" s="1"/>
      <c r="I155" s="1"/>
      <c r="J155" s="1"/>
    </row>
    <row r="156" spans="1:10">
      <c r="A156" s="7" t="s">
        <v>30</v>
      </c>
      <c r="B156">
        <v>27</v>
      </c>
      <c r="C156" s="4">
        <f t="shared" si="33"/>
        <v>384.88053227176789</v>
      </c>
      <c r="D156" s="4">
        <f t="shared" si="34"/>
        <v>0</v>
      </c>
      <c r="E156" s="4">
        <f t="shared" si="35"/>
        <v>65.718679795513523</v>
      </c>
      <c r="F156" s="1">
        <v>27</v>
      </c>
      <c r="G156" s="1"/>
      <c r="H156" s="1"/>
      <c r="I156" s="1"/>
      <c r="J156" s="1"/>
    </row>
    <row r="157" spans="1:10">
      <c r="A157" s="7" t="s">
        <v>31</v>
      </c>
      <c r="B157">
        <v>28</v>
      </c>
      <c r="C157" s="4">
        <f t="shared" si="33"/>
        <v>203.19955390799996</v>
      </c>
      <c r="D157" s="4">
        <f t="shared" si="34"/>
        <v>0</v>
      </c>
      <c r="E157" s="4">
        <f t="shared" si="35"/>
        <v>39.495694499999992</v>
      </c>
      <c r="F157" s="1">
        <v>28</v>
      </c>
      <c r="G157" s="1"/>
      <c r="H157" s="1"/>
      <c r="I157" s="1"/>
      <c r="J157" s="1"/>
    </row>
    <row r="158" spans="1:10">
      <c r="A158" s="7" t="s">
        <v>32</v>
      </c>
      <c r="B158">
        <v>29</v>
      </c>
      <c r="C158" s="4">
        <f t="shared" si="33"/>
        <v>243.83946468959996</v>
      </c>
      <c r="D158" s="4">
        <f t="shared" si="34"/>
        <v>0</v>
      </c>
      <c r="E158" s="4">
        <f t="shared" si="35"/>
        <v>39.495694499999992</v>
      </c>
      <c r="F158" s="1">
        <v>29</v>
      </c>
      <c r="G158" s="1"/>
      <c r="H158" s="1"/>
      <c r="I158" s="1"/>
      <c r="J158" s="1"/>
    </row>
    <row r="159" spans="1:10">
      <c r="A159" s="7" t="s">
        <v>33</v>
      </c>
      <c r="B159">
        <v>30</v>
      </c>
      <c r="C159" s="4">
        <f t="shared" si="33"/>
        <v>259.78677145199993</v>
      </c>
      <c r="D159" s="4">
        <f t="shared" si="34"/>
        <v>0</v>
      </c>
      <c r="E159" s="4">
        <f t="shared" si="35"/>
        <v>26.360999999999994</v>
      </c>
      <c r="F159" s="1">
        <v>30</v>
      </c>
      <c r="G159" s="1"/>
      <c r="H159" s="1"/>
      <c r="I159" s="1"/>
      <c r="J159" s="1"/>
    </row>
    <row r="160" spans="1:10">
      <c r="A160" s="7" t="s">
        <v>34</v>
      </c>
      <c r="B160">
        <v>31</v>
      </c>
      <c r="C160" s="4">
        <f t="shared" si="33"/>
        <v>65.649999999999991</v>
      </c>
      <c r="D160" s="4">
        <f t="shared" si="34"/>
        <v>0</v>
      </c>
      <c r="E160" s="4">
        <f t="shared" si="35"/>
        <v>19.770749999999996</v>
      </c>
      <c r="F160" s="1">
        <v>31</v>
      </c>
      <c r="G160" s="1"/>
      <c r="H160" s="1"/>
      <c r="I160" s="1"/>
      <c r="J160" s="1"/>
    </row>
    <row r="161" spans="1:10">
      <c r="A161" s="7" t="s">
        <v>35</v>
      </c>
      <c r="B161">
        <v>32</v>
      </c>
      <c r="C161" s="4">
        <f t="shared" si="33"/>
        <v>53.257575757575744</v>
      </c>
      <c r="D161" s="4">
        <f t="shared" si="34"/>
        <v>0</v>
      </c>
      <c r="E161" s="4">
        <f t="shared" si="35"/>
        <v>26.349999999999998</v>
      </c>
      <c r="F161" s="1">
        <v>32</v>
      </c>
      <c r="G161" s="1"/>
      <c r="H161" s="1"/>
      <c r="I161" s="1"/>
      <c r="J161" s="1"/>
    </row>
    <row r="162" spans="1:10">
      <c r="A162" s="7" t="s">
        <v>36</v>
      </c>
      <c r="B162">
        <v>33</v>
      </c>
      <c r="C162" s="4">
        <f t="shared" si="33"/>
        <v>239.54545454545448</v>
      </c>
      <c r="D162" s="4">
        <f t="shared" si="34"/>
        <v>0</v>
      </c>
      <c r="E162" s="4">
        <f t="shared" si="35"/>
        <v>65.88</v>
      </c>
      <c r="F162" s="1">
        <v>33</v>
      </c>
      <c r="G162" s="1"/>
      <c r="H162" s="1"/>
      <c r="I162" s="1"/>
      <c r="J162" s="1"/>
    </row>
    <row r="163" spans="1:10">
      <c r="A163" s="7" t="s">
        <v>37</v>
      </c>
      <c r="B163">
        <v>34</v>
      </c>
      <c r="C163" s="4">
        <f t="shared" si="33"/>
        <v>57.850141353731985</v>
      </c>
      <c r="D163" s="4">
        <f t="shared" si="34"/>
        <v>0</v>
      </c>
      <c r="E163" s="4">
        <f t="shared" si="35"/>
        <v>14.768967294575662</v>
      </c>
      <c r="F163" s="1">
        <v>34</v>
      </c>
      <c r="G163" s="1"/>
      <c r="H163" s="1"/>
      <c r="I163" s="1"/>
      <c r="J163" s="1"/>
    </row>
    <row r="164" spans="1:10">
      <c r="A164" s="7" t="s">
        <v>38</v>
      </c>
      <c r="B164">
        <v>35</v>
      </c>
      <c r="C164" s="4">
        <f t="shared" si="33"/>
        <v>37.810549904399991</v>
      </c>
      <c r="D164" s="4">
        <f t="shared" si="34"/>
        <v>393.53837655599995</v>
      </c>
      <c r="E164" s="4">
        <f t="shared" si="35"/>
        <v>23.681942316891625</v>
      </c>
      <c r="F164" s="1">
        <v>35</v>
      </c>
      <c r="G164" s="1"/>
      <c r="H164" s="1"/>
      <c r="I164" s="1"/>
      <c r="J164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12"/>
  <sheetViews>
    <sheetView topLeftCell="A72" zoomScale="115" zoomScaleNormal="115" workbookViewId="0">
      <selection activeCell="H105" sqref="H105"/>
    </sheetView>
  </sheetViews>
  <sheetFormatPr defaultRowHeight="15"/>
  <cols>
    <col min="1" max="1" width="27.42578125" customWidth="1"/>
    <col min="4" max="4" width="17.5703125" customWidth="1"/>
    <col min="7" max="7" width="18.42578125" customWidth="1"/>
    <col min="12" max="12" width="9.28515625" bestFit="1" customWidth="1"/>
    <col min="14" max="14" width="9.28515625" bestFit="1" customWidth="1"/>
  </cols>
  <sheetData>
    <row r="1" spans="1:24">
      <c r="A1" t="s">
        <v>51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I1" s="1">
        <v>7</v>
      </c>
    </row>
    <row r="2" spans="1:24">
      <c r="A2" t="s">
        <v>52</v>
      </c>
      <c r="B2" s="10">
        <f>Лист1!H15</f>
        <v>13.345585368223034</v>
      </c>
      <c r="C2" s="8">
        <f>B2*Лист1!H40</f>
        <v>20.418745613381244</v>
      </c>
      <c r="D2" s="6">
        <f>$B$2*Лист1!$H41</f>
        <v>24.910869648325114</v>
      </c>
      <c r="E2" s="10">
        <f>$B$2*Лист1!$H42</f>
        <v>31.611893583724566</v>
      </c>
      <c r="F2" s="8">
        <f>$B$2*Лист1!$H43</f>
        <v>40.4</v>
      </c>
      <c r="G2" s="6">
        <f>$B$2*Лист1!$H44</f>
        <v>52.519999999999996</v>
      </c>
      <c r="I2" s="6">
        <f>$B$2*Лист1!$H45</f>
        <v>69.326400000000007</v>
      </c>
    </row>
    <row r="3" spans="1:24">
      <c r="A3" t="s">
        <v>53</v>
      </c>
      <c r="B3" s="10">
        <f>Лист1!I15</f>
        <v>0</v>
      </c>
      <c r="C3" s="8">
        <f>B3*Лист1!H40</f>
        <v>0</v>
      </c>
      <c r="D3" s="6">
        <f>$B$3*Лист1!$H41</f>
        <v>0</v>
      </c>
      <c r="E3" s="10">
        <f>$B$3*Лист1!$H42</f>
        <v>0</v>
      </c>
      <c r="F3" s="8">
        <f>$B$3*Лист1!$H43</f>
        <v>0</v>
      </c>
      <c r="G3" s="6">
        <f>$B$3*Лист1!$H44</f>
        <v>0</v>
      </c>
      <c r="I3" s="6">
        <f>$B$3*Лист1!$H45</f>
        <v>0</v>
      </c>
    </row>
    <row r="4" spans="1:24">
      <c r="A4" t="s">
        <v>54</v>
      </c>
      <c r="B4" s="10">
        <f>Лист1!J15</f>
        <v>5.1072276412788398</v>
      </c>
      <c r="C4" s="8">
        <f>B4*Лист1!I40</f>
        <v>6.3840345515985497</v>
      </c>
      <c r="D4" s="6">
        <f>$B$4*Лист1!I41</f>
        <v>7.7821381183986329</v>
      </c>
      <c r="E4" s="10">
        <f>$B$4*Лист1!I42</f>
        <v>9.8825371965544235</v>
      </c>
      <c r="F4" s="8">
        <f>$B$4*Лист1!I43</f>
        <v>12.62</v>
      </c>
      <c r="G4" s="6">
        <f>$B$4*Лист1!I44</f>
        <v>16.469099999999997</v>
      </c>
      <c r="I4" s="6">
        <f>$B$4*Лист1!K45</f>
        <v>0</v>
      </c>
    </row>
    <row r="6" spans="1:24">
      <c r="A6" t="s">
        <v>55</v>
      </c>
    </row>
    <row r="12" spans="1:24" ht="15.75" thickBot="1"/>
    <row r="13" spans="1:24" ht="16.5" thickTop="1" thickBot="1">
      <c r="B13" s="14" t="s">
        <v>63</v>
      </c>
      <c r="C13" s="17" t="s">
        <v>64</v>
      </c>
      <c r="D13" s="16" t="s">
        <v>65</v>
      </c>
      <c r="E13" s="15" t="s">
        <v>66</v>
      </c>
      <c r="F13" s="17" t="s">
        <v>68</v>
      </c>
      <c r="G13" s="14" t="s">
        <v>67</v>
      </c>
      <c r="H13" s="16" t="s">
        <v>69</v>
      </c>
      <c r="I13" s="15" t="s">
        <v>71</v>
      </c>
      <c r="J13" s="14" t="s">
        <v>72</v>
      </c>
      <c r="L13" t="s">
        <v>74</v>
      </c>
      <c r="M13" s="14" t="s">
        <v>63</v>
      </c>
      <c r="N13" s="17" t="s">
        <v>64</v>
      </c>
      <c r="O13" s="16" t="s">
        <v>65</v>
      </c>
      <c r="P13" s="15" t="s">
        <v>66</v>
      </c>
      <c r="Q13" s="17" t="s">
        <v>68</v>
      </c>
      <c r="R13" s="14" t="s">
        <v>67</v>
      </c>
      <c r="S13" s="16" t="s">
        <v>69</v>
      </c>
      <c r="T13" s="15" t="s">
        <v>71</v>
      </c>
      <c r="U13" s="14" t="s">
        <v>72</v>
      </c>
      <c r="W13" s="14" t="s">
        <v>75</v>
      </c>
      <c r="X13" s="20" t="s">
        <v>76</v>
      </c>
    </row>
    <row r="14" spans="1:24" ht="15.75" thickTop="1">
      <c r="A14" t="s">
        <v>59</v>
      </c>
    </row>
    <row r="15" spans="1:24" ht="15.75" thickBot="1"/>
    <row r="16" spans="1:24" ht="16.5" thickTop="1" thickBot="1">
      <c r="A16" t="s">
        <v>56</v>
      </c>
      <c r="B16" s="14">
        <v>1300</v>
      </c>
      <c r="C16" s="17">
        <v>2100</v>
      </c>
      <c r="D16" s="16">
        <v>2800</v>
      </c>
      <c r="E16" s="15">
        <v>4500</v>
      </c>
      <c r="F16" s="17">
        <v>1900</v>
      </c>
      <c r="G16" s="14">
        <v>1800</v>
      </c>
      <c r="H16" s="16">
        <v>2400</v>
      </c>
      <c r="I16" s="15">
        <v>3300</v>
      </c>
      <c r="J16" s="14">
        <v>1800</v>
      </c>
      <c r="M16" s="14">
        <f>B16*$N$34</f>
        <v>2860.0000000000005</v>
      </c>
      <c r="N16" s="17">
        <f>$N$31*C16</f>
        <v>2940</v>
      </c>
      <c r="O16" s="16">
        <f>D16*N29</f>
        <v>2800</v>
      </c>
      <c r="P16" s="15">
        <f>E16*N26</f>
        <v>2700</v>
      </c>
      <c r="Q16" s="17">
        <f>F16*$N$32</f>
        <v>3040</v>
      </c>
      <c r="R16" s="14">
        <f>G16*N32</f>
        <v>2880</v>
      </c>
      <c r="S16" s="16">
        <f>H16*N30</f>
        <v>2880</v>
      </c>
      <c r="T16" s="15">
        <f>I16*N28</f>
        <v>2970</v>
      </c>
      <c r="U16" s="15">
        <f>J16*N32</f>
        <v>2880</v>
      </c>
      <c r="W16" s="14">
        <v>1</v>
      </c>
      <c r="X16" s="20">
        <v>1</v>
      </c>
    </row>
    <row r="17" spans="1:24" ht="16.5" thickTop="1" thickBot="1">
      <c r="A17" t="s">
        <v>57</v>
      </c>
      <c r="B17" s="14">
        <v>1600</v>
      </c>
      <c r="C17" s="17">
        <v>2600</v>
      </c>
      <c r="D17" s="16">
        <v>3600</v>
      </c>
      <c r="E17" s="15">
        <v>5800</v>
      </c>
      <c r="F17" s="17">
        <v>3600</v>
      </c>
      <c r="G17" s="14">
        <v>4900</v>
      </c>
      <c r="H17" s="16">
        <v>9200</v>
      </c>
      <c r="I17" s="15">
        <v>6200</v>
      </c>
      <c r="J17" s="14">
        <v>3600</v>
      </c>
      <c r="M17" s="14">
        <f t="shared" ref="M17" si="0">B17*$N$37</f>
        <v>5600</v>
      </c>
      <c r="N17" s="17">
        <f>$N$34*C17</f>
        <v>5720.0000000000009</v>
      </c>
      <c r="O17" s="16">
        <f>D17*N32</f>
        <v>5760</v>
      </c>
      <c r="P17" s="15">
        <f t="shared" ref="P17" si="1">E17</f>
        <v>5800</v>
      </c>
      <c r="Q17" s="17">
        <f t="shared" ref="Q17" si="2">F17*$N$32</f>
        <v>5760</v>
      </c>
      <c r="R17" s="14">
        <f>G17*N30</f>
        <v>5880</v>
      </c>
      <c r="S17" s="16">
        <f>H17*N26</f>
        <v>5520</v>
      </c>
      <c r="T17" s="15">
        <f>I17*N28</f>
        <v>5580</v>
      </c>
      <c r="U17" s="15">
        <f>J17*N32</f>
        <v>5760</v>
      </c>
      <c r="W17" s="14">
        <v>4200</v>
      </c>
      <c r="X17" s="20">
        <v>4000</v>
      </c>
    </row>
    <row r="18" spans="1:24" ht="16.5" thickTop="1" thickBot="1">
      <c r="A18" t="s">
        <v>58</v>
      </c>
      <c r="B18" s="14">
        <v>1</v>
      </c>
      <c r="C18" s="17">
        <v>1</v>
      </c>
      <c r="D18" s="16">
        <v>1</v>
      </c>
      <c r="E18" s="15">
        <v>1</v>
      </c>
      <c r="F18" s="17">
        <v>1</v>
      </c>
      <c r="G18" s="14">
        <v>10800</v>
      </c>
      <c r="H18" s="16">
        <v>12600</v>
      </c>
      <c r="I18" s="15">
        <v>9900</v>
      </c>
      <c r="J18" s="14">
        <v>7900</v>
      </c>
      <c r="M18" s="14">
        <f>M17*$N$33</f>
        <v>10640</v>
      </c>
      <c r="N18" s="14">
        <f t="shared" ref="N18:Q18" si="3">N17*$N$33</f>
        <v>10868.000000000002</v>
      </c>
      <c r="O18" s="14">
        <f t="shared" si="3"/>
        <v>10944</v>
      </c>
      <c r="P18" s="14">
        <f t="shared" si="3"/>
        <v>11020</v>
      </c>
      <c r="Q18" s="14">
        <f t="shared" si="3"/>
        <v>10944</v>
      </c>
      <c r="R18" s="14">
        <f>G18*N29</f>
        <v>10800</v>
      </c>
      <c r="S18" s="16">
        <f>H18*N28</f>
        <v>11340</v>
      </c>
      <c r="T18" s="15">
        <f>I18*N29</f>
        <v>9900</v>
      </c>
      <c r="U18" s="15">
        <f>J18*N30</f>
        <v>9480</v>
      </c>
      <c r="W18" s="14">
        <v>1</v>
      </c>
      <c r="X18" s="20">
        <v>1</v>
      </c>
    </row>
    <row r="19" spans="1:24" ht="16.5" thickTop="1" thickBot="1">
      <c r="A19" t="s">
        <v>60</v>
      </c>
      <c r="B19" s="14">
        <v>1600</v>
      </c>
      <c r="C19" s="17">
        <v>2200</v>
      </c>
      <c r="D19" s="16">
        <v>3600</v>
      </c>
      <c r="E19" s="15">
        <v>5800</v>
      </c>
      <c r="F19" s="17">
        <v>2200</v>
      </c>
      <c r="G19" s="14">
        <v>3600</v>
      </c>
      <c r="H19" s="16">
        <v>1</v>
      </c>
      <c r="I19" s="15">
        <v>1</v>
      </c>
      <c r="J19" s="14">
        <v>1</v>
      </c>
      <c r="M19" s="14">
        <f>B19*$N$40</f>
        <v>8960</v>
      </c>
      <c r="N19" s="17">
        <f>$N$38*C19</f>
        <v>9020</v>
      </c>
      <c r="O19" s="16">
        <f>D19*$N$35</f>
        <v>9360</v>
      </c>
      <c r="P19" s="15">
        <f>E19*N32</f>
        <v>9280</v>
      </c>
      <c r="Q19" s="17">
        <f>F19*$N$38</f>
        <v>9020</v>
      </c>
      <c r="R19" s="14">
        <f>G19*N35</f>
        <v>9360</v>
      </c>
      <c r="S19" s="16">
        <f>Q19</f>
        <v>9020</v>
      </c>
      <c r="T19" s="15">
        <f>N19</f>
        <v>9020</v>
      </c>
      <c r="U19" s="14">
        <f>M19</f>
        <v>8960</v>
      </c>
      <c r="W19" s="14">
        <v>1</v>
      </c>
      <c r="X19" s="20">
        <v>1</v>
      </c>
    </row>
    <row r="20" spans="1:24" ht="15.75" thickTop="1"/>
    <row r="21" spans="1:24">
      <c r="A21" t="s">
        <v>61</v>
      </c>
    </row>
    <row r="22" spans="1:24" ht="15.75" thickBot="1"/>
    <row r="23" spans="1:24" ht="16.5" thickTop="1" thickBot="1">
      <c r="A23" t="s">
        <v>56</v>
      </c>
      <c r="B23" s="14">
        <v>25</v>
      </c>
      <c r="C23" s="17">
        <v>30</v>
      </c>
      <c r="D23" s="16">
        <v>35</v>
      </c>
      <c r="E23" s="15">
        <v>45</v>
      </c>
      <c r="F23" s="17">
        <v>35</v>
      </c>
      <c r="G23" s="14">
        <v>35</v>
      </c>
      <c r="H23" s="16">
        <v>35</v>
      </c>
      <c r="I23" s="15">
        <v>45</v>
      </c>
      <c r="J23" s="14">
        <v>35</v>
      </c>
      <c r="L23" t="s">
        <v>73</v>
      </c>
      <c r="W23" s="14" t="s">
        <v>75</v>
      </c>
      <c r="X23" s="20" t="s">
        <v>76</v>
      </c>
    </row>
    <row r="24" spans="1:24" ht="16.5" thickTop="1" thickBot="1">
      <c r="A24" t="s">
        <v>57</v>
      </c>
      <c r="B24" s="14">
        <v>30</v>
      </c>
      <c r="C24" s="17">
        <v>35</v>
      </c>
      <c r="D24" s="16">
        <v>40</v>
      </c>
      <c r="E24" s="15">
        <v>50</v>
      </c>
      <c r="F24" s="17">
        <v>40</v>
      </c>
      <c r="G24" s="14">
        <v>45</v>
      </c>
      <c r="H24" s="16">
        <v>45</v>
      </c>
      <c r="I24" s="15">
        <v>60</v>
      </c>
      <c r="J24" s="14">
        <v>45</v>
      </c>
      <c r="L24" s="18">
        <v>-5</v>
      </c>
      <c r="M24" s="18"/>
      <c r="N24" s="18">
        <v>0.25</v>
      </c>
    </row>
    <row r="25" spans="1:24" ht="16.5" thickTop="1" thickBot="1">
      <c r="A25" t="s">
        <v>58</v>
      </c>
      <c r="B25" s="14">
        <v>0</v>
      </c>
      <c r="C25" s="17">
        <v>0</v>
      </c>
      <c r="D25" s="16">
        <v>0</v>
      </c>
      <c r="E25" s="15">
        <v>0</v>
      </c>
      <c r="F25" s="17">
        <v>0</v>
      </c>
      <c r="G25" s="14">
        <v>70</v>
      </c>
      <c r="H25" s="16">
        <v>70</v>
      </c>
      <c r="I25" s="15">
        <v>70</v>
      </c>
      <c r="J25" s="14">
        <v>70</v>
      </c>
      <c r="L25" s="18">
        <v>-4</v>
      </c>
      <c r="M25" s="18"/>
      <c r="N25" s="18">
        <v>0.5</v>
      </c>
    </row>
    <row r="26" spans="1:24" ht="16.5" thickTop="1" thickBot="1">
      <c r="A26" t="s">
        <v>60</v>
      </c>
      <c r="B26" s="14">
        <v>80</v>
      </c>
      <c r="C26" s="17">
        <v>125</v>
      </c>
      <c r="D26" s="16">
        <v>175</v>
      </c>
      <c r="E26" s="15">
        <v>250</v>
      </c>
      <c r="F26" s="17">
        <v>90</v>
      </c>
      <c r="G26" s="14">
        <v>275</v>
      </c>
      <c r="H26" s="16">
        <v>0</v>
      </c>
      <c r="I26" s="15">
        <v>0</v>
      </c>
      <c r="J26" s="14">
        <v>0</v>
      </c>
      <c r="L26" s="18">
        <v>-3</v>
      </c>
      <c r="M26" s="18"/>
      <c r="N26" s="18">
        <v>0.6</v>
      </c>
      <c r="W26" s="14">
        <f>W27*N25</f>
        <v>2940</v>
      </c>
      <c r="X26" s="14">
        <f>X27*N25</f>
        <v>2400</v>
      </c>
    </row>
    <row r="27" spans="1:24" ht="15.75" thickTop="1">
      <c r="L27" s="18">
        <v>-2</v>
      </c>
      <c r="M27" s="18"/>
      <c r="N27" s="18">
        <v>0.7</v>
      </c>
      <c r="W27" s="14">
        <f>W17*N31</f>
        <v>5880</v>
      </c>
      <c r="X27" s="20">
        <f>X17*N30</f>
        <v>4800</v>
      </c>
    </row>
    <row r="28" spans="1:24">
      <c r="A28" t="s">
        <v>62</v>
      </c>
      <c r="L28" s="18">
        <v>-1</v>
      </c>
      <c r="M28" s="18"/>
      <c r="N28" s="18">
        <v>0.9</v>
      </c>
      <c r="W28" s="14">
        <f>W27*N33</f>
        <v>11172</v>
      </c>
      <c r="X28" s="20">
        <f>X27*N33</f>
        <v>9120</v>
      </c>
    </row>
    <row r="29" spans="1:24" ht="15.75" thickBot="1">
      <c r="L29" s="18">
        <v>0</v>
      </c>
      <c r="M29" s="18"/>
      <c r="N29" s="18">
        <v>1</v>
      </c>
      <c r="W29" s="14">
        <v>1</v>
      </c>
      <c r="X29" s="20">
        <v>1</v>
      </c>
    </row>
    <row r="30" spans="1:24" ht="16.5" thickTop="1" thickBot="1">
      <c r="A30" t="s">
        <v>56</v>
      </c>
      <c r="B30" s="14">
        <v>12</v>
      </c>
      <c r="C30" s="17">
        <v>15</v>
      </c>
      <c r="D30" s="16">
        <v>23</v>
      </c>
      <c r="E30" s="15">
        <v>33</v>
      </c>
      <c r="F30" s="17">
        <v>14</v>
      </c>
      <c r="G30" s="14">
        <v>15</v>
      </c>
      <c r="H30" s="16">
        <v>20</v>
      </c>
      <c r="I30" s="15">
        <v>26</v>
      </c>
      <c r="J30" s="14">
        <v>15</v>
      </c>
      <c r="L30" s="18">
        <v>1</v>
      </c>
      <c r="M30" s="18"/>
      <c r="N30" s="18">
        <v>1.2</v>
      </c>
      <c r="P30">
        <v>1.3</v>
      </c>
    </row>
    <row r="31" spans="1:24" ht="16.5" thickTop="1" thickBot="1">
      <c r="A31" t="s">
        <v>57</v>
      </c>
      <c r="B31" s="14">
        <v>14</v>
      </c>
      <c r="C31" s="17">
        <v>20</v>
      </c>
      <c r="D31" s="16">
        <v>26</v>
      </c>
      <c r="E31" s="15">
        <v>38</v>
      </c>
      <c r="F31" s="17">
        <v>26</v>
      </c>
      <c r="G31" s="14">
        <v>33</v>
      </c>
      <c r="H31" s="16">
        <v>55</v>
      </c>
      <c r="I31" s="15">
        <v>43</v>
      </c>
      <c r="J31" s="14">
        <v>26</v>
      </c>
      <c r="L31" s="18">
        <v>2</v>
      </c>
      <c r="M31" s="18"/>
      <c r="N31" s="18">
        <v>1.4</v>
      </c>
    </row>
    <row r="32" spans="1:24" ht="16.5" thickTop="1" thickBot="1">
      <c r="A32" t="s">
        <v>58</v>
      </c>
      <c r="B32" s="14">
        <v>0</v>
      </c>
      <c r="C32" s="17">
        <v>0</v>
      </c>
      <c r="D32" s="16">
        <v>0</v>
      </c>
      <c r="E32" s="15">
        <v>0</v>
      </c>
      <c r="F32" s="17">
        <v>0</v>
      </c>
      <c r="G32" s="14">
        <v>63</v>
      </c>
      <c r="H32" s="16">
        <v>71</v>
      </c>
      <c r="I32" s="15">
        <v>63</v>
      </c>
      <c r="J32" s="14">
        <v>49</v>
      </c>
      <c r="L32" s="18">
        <v>3</v>
      </c>
      <c r="M32" s="18"/>
      <c r="N32" s="18">
        <v>1.6</v>
      </c>
    </row>
    <row r="33" spans="1:14" ht="16.5" thickTop="1" thickBot="1">
      <c r="A33" t="s">
        <v>60</v>
      </c>
      <c r="B33" s="14">
        <v>12</v>
      </c>
      <c r="C33" s="17">
        <v>15</v>
      </c>
      <c r="D33" s="16">
        <v>23</v>
      </c>
      <c r="E33" s="15">
        <v>33</v>
      </c>
      <c r="F33" s="17">
        <v>15</v>
      </c>
      <c r="G33" s="14">
        <v>23</v>
      </c>
      <c r="H33" s="16">
        <v>0</v>
      </c>
      <c r="I33" s="15">
        <v>0</v>
      </c>
      <c r="J33" s="14">
        <v>0</v>
      </c>
      <c r="L33" s="18">
        <v>4</v>
      </c>
      <c r="M33" s="18"/>
      <c r="N33" s="18">
        <v>1.9</v>
      </c>
    </row>
    <row r="34" spans="1:14" ht="15.75" thickTop="1">
      <c r="L34" s="18">
        <v>5</v>
      </c>
      <c r="M34" s="18"/>
      <c r="N34" s="18">
        <v>2.2000000000000002</v>
      </c>
    </row>
    <row r="35" spans="1:14">
      <c r="A35" t="s">
        <v>70</v>
      </c>
      <c r="L35" s="18">
        <v>6</v>
      </c>
      <c r="M35" s="18"/>
      <c r="N35" s="18">
        <v>2.6</v>
      </c>
    </row>
    <row r="36" spans="1:14" ht="15.75" thickBot="1">
      <c r="L36" s="18">
        <v>7</v>
      </c>
      <c r="M36" s="18"/>
      <c r="N36" s="18">
        <v>3</v>
      </c>
    </row>
    <row r="37" spans="1:14" ht="16.5" thickTop="1" thickBot="1">
      <c r="A37" t="s">
        <v>56</v>
      </c>
      <c r="B37" s="14">
        <v>3</v>
      </c>
      <c r="C37" s="17">
        <v>4</v>
      </c>
      <c r="D37" s="16">
        <v>6</v>
      </c>
      <c r="E37" s="15">
        <v>7</v>
      </c>
      <c r="F37" s="17">
        <v>4</v>
      </c>
      <c r="G37" s="14">
        <v>4</v>
      </c>
      <c r="H37" s="16">
        <v>5</v>
      </c>
      <c r="I37" s="15">
        <v>6</v>
      </c>
      <c r="J37" s="14">
        <v>4</v>
      </c>
      <c r="L37" s="18">
        <v>8</v>
      </c>
      <c r="M37" s="18"/>
      <c r="N37" s="19">
        <v>3.5</v>
      </c>
    </row>
    <row r="38" spans="1:14" ht="16.5" thickTop="1" thickBot="1">
      <c r="A38" t="s">
        <v>57</v>
      </c>
      <c r="B38" s="14">
        <v>4</v>
      </c>
      <c r="C38" s="17">
        <v>5</v>
      </c>
      <c r="D38" s="16">
        <v>6</v>
      </c>
      <c r="E38" s="15">
        <v>8</v>
      </c>
      <c r="F38" s="17">
        <v>6</v>
      </c>
      <c r="G38" s="14">
        <v>7</v>
      </c>
      <c r="H38" s="16">
        <v>9</v>
      </c>
      <c r="I38" s="15">
        <v>8</v>
      </c>
      <c r="J38" s="14">
        <v>6</v>
      </c>
      <c r="L38" s="18">
        <v>9</v>
      </c>
      <c r="M38" s="18"/>
      <c r="N38" s="19">
        <v>4.0999999999999996</v>
      </c>
    </row>
    <row r="39" spans="1:14" ht="16.5" thickTop="1" thickBot="1">
      <c r="A39" t="s">
        <v>58</v>
      </c>
      <c r="B39" s="14">
        <v>0</v>
      </c>
      <c r="C39" s="17">
        <v>0</v>
      </c>
      <c r="D39" s="16">
        <v>0</v>
      </c>
      <c r="E39" s="15">
        <v>0</v>
      </c>
      <c r="F39" s="17">
        <v>0</v>
      </c>
      <c r="G39" s="14">
        <v>10</v>
      </c>
      <c r="H39" s="16">
        <v>10</v>
      </c>
      <c r="I39" s="15">
        <v>10</v>
      </c>
      <c r="J39" s="14">
        <v>9</v>
      </c>
      <c r="L39" s="18">
        <v>10</v>
      </c>
      <c r="M39" s="18"/>
      <c r="N39" s="19">
        <v>4.8</v>
      </c>
    </row>
    <row r="40" spans="1:14" ht="16.5" thickTop="1" thickBot="1">
      <c r="A40" t="s">
        <v>60</v>
      </c>
      <c r="B40" s="14">
        <v>3</v>
      </c>
      <c r="C40" s="17">
        <v>4</v>
      </c>
      <c r="D40" s="16">
        <v>6</v>
      </c>
      <c r="E40" s="15">
        <v>7</v>
      </c>
      <c r="F40" s="17">
        <v>4</v>
      </c>
      <c r="G40" s="14">
        <v>6</v>
      </c>
      <c r="H40" s="16">
        <v>0</v>
      </c>
      <c r="I40" s="15">
        <v>0</v>
      </c>
      <c r="J40" s="14">
        <v>0</v>
      </c>
      <c r="L40" s="18">
        <v>11</v>
      </c>
      <c r="M40" s="18"/>
      <c r="N40" s="19">
        <v>5.6</v>
      </c>
    </row>
    <row r="41" spans="1:14" ht="15.75" thickTop="1">
      <c r="L41" s="18">
        <v>12</v>
      </c>
      <c r="M41" s="18"/>
      <c r="N41" s="19">
        <v>6.6</v>
      </c>
    </row>
    <row r="42" spans="1:14" ht="15.75" thickBot="1">
      <c r="A42" t="s">
        <v>141</v>
      </c>
      <c r="L42" s="18">
        <v>13</v>
      </c>
      <c r="M42" s="18"/>
      <c r="N42" s="19">
        <v>7.7</v>
      </c>
    </row>
    <row r="43" spans="1:14" ht="16.5" thickTop="1" thickBot="1">
      <c r="A43" t="s">
        <v>139</v>
      </c>
      <c r="B43" s="14" t="s">
        <v>63</v>
      </c>
      <c r="C43" s="17" t="s">
        <v>64</v>
      </c>
      <c r="D43" s="16" t="s">
        <v>65</v>
      </c>
      <c r="E43" s="15" t="s">
        <v>66</v>
      </c>
      <c r="F43" s="17" t="s">
        <v>68</v>
      </c>
      <c r="G43" s="14" t="s">
        <v>67</v>
      </c>
      <c r="H43" s="16" t="s">
        <v>69</v>
      </c>
      <c r="I43" s="15" t="s">
        <v>71</v>
      </c>
      <c r="J43" s="14" t="s">
        <v>72</v>
      </c>
      <c r="K43" s="14" t="s">
        <v>75</v>
      </c>
      <c r="L43" s="18">
        <v>14</v>
      </c>
      <c r="M43" s="18"/>
    </row>
    <row r="44" spans="1:14" ht="15.75" thickTop="1">
      <c r="A44" t="s">
        <v>138</v>
      </c>
      <c r="L44" s="18">
        <v>15</v>
      </c>
      <c r="M44" s="18"/>
      <c r="N44" s="18"/>
    </row>
    <row r="45" spans="1:14" ht="15.75" thickBot="1">
      <c r="L45" s="18">
        <v>16</v>
      </c>
      <c r="M45" s="18"/>
      <c r="N45" s="18"/>
    </row>
    <row r="46" spans="1:14" ht="16.5" thickTop="1" thickBot="1">
      <c r="A46" t="s">
        <v>56</v>
      </c>
      <c r="B46" s="14">
        <v>1300</v>
      </c>
      <c r="C46" s="17">
        <v>2100</v>
      </c>
      <c r="D46" s="16">
        <v>2900</v>
      </c>
      <c r="E46" s="15">
        <v>4700</v>
      </c>
      <c r="F46" s="17">
        <v>1500</v>
      </c>
      <c r="G46" s="14">
        <v>1800</v>
      </c>
      <c r="H46" s="16">
        <v>2500</v>
      </c>
      <c r="I46" s="15">
        <v>3400</v>
      </c>
      <c r="J46" s="14">
        <v>1800</v>
      </c>
      <c r="K46" s="14">
        <v>1</v>
      </c>
      <c r="L46" s="18">
        <v>17</v>
      </c>
      <c r="M46" s="18"/>
      <c r="N46" s="19">
        <v>14.4</v>
      </c>
    </row>
    <row r="47" spans="1:14" ht="16.5" thickTop="1" thickBot="1">
      <c r="A47" t="s">
        <v>57</v>
      </c>
      <c r="B47" s="14">
        <v>1500</v>
      </c>
      <c r="C47" s="17">
        <v>2500</v>
      </c>
      <c r="D47" s="16">
        <v>3400</v>
      </c>
      <c r="E47" s="15">
        <v>5400</v>
      </c>
      <c r="F47" s="17">
        <v>3400</v>
      </c>
      <c r="G47" s="14">
        <v>4700</v>
      </c>
      <c r="H47" s="16">
        <v>8900</v>
      </c>
      <c r="I47" s="15">
        <v>6400</v>
      </c>
      <c r="J47" s="14">
        <v>3400</v>
      </c>
      <c r="K47" s="14">
        <v>4000</v>
      </c>
      <c r="L47" s="18">
        <v>18</v>
      </c>
      <c r="M47" s="18"/>
      <c r="N47" s="18"/>
    </row>
    <row r="48" spans="1:14" ht="16.5" thickTop="1" thickBot="1">
      <c r="A48" t="s">
        <v>58</v>
      </c>
      <c r="B48" s="14">
        <v>1</v>
      </c>
      <c r="C48" s="17">
        <v>1</v>
      </c>
      <c r="D48" s="16">
        <v>1</v>
      </c>
      <c r="E48" s="15">
        <v>1</v>
      </c>
      <c r="F48" s="17">
        <v>1</v>
      </c>
      <c r="G48" s="14">
        <v>10400</v>
      </c>
      <c r="H48" s="16">
        <v>11900</v>
      </c>
      <c r="I48" s="15">
        <v>10400</v>
      </c>
      <c r="J48" s="14">
        <v>7400</v>
      </c>
      <c r="K48" s="14">
        <v>1</v>
      </c>
      <c r="L48" s="18">
        <v>19</v>
      </c>
      <c r="M48" s="18"/>
      <c r="N48" s="18"/>
    </row>
    <row r="49" spans="1:14" ht="16.5" thickTop="1" thickBot="1">
      <c r="A49" t="s">
        <v>60</v>
      </c>
      <c r="B49" s="14">
        <v>1300</v>
      </c>
      <c r="C49" s="17">
        <v>1800</v>
      </c>
      <c r="D49" s="16">
        <v>2700</v>
      </c>
      <c r="E49" s="15">
        <v>4700</v>
      </c>
      <c r="F49" s="17">
        <v>1800</v>
      </c>
      <c r="G49" s="14">
        <v>2900</v>
      </c>
      <c r="H49" s="16">
        <v>1</v>
      </c>
      <c r="I49" s="15">
        <v>1</v>
      </c>
      <c r="J49" s="14">
        <v>1</v>
      </c>
      <c r="K49" s="14">
        <v>1</v>
      </c>
      <c r="L49" s="18">
        <v>20</v>
      </c>
      <c r="M49" s="18"/>
      <c r="N49" s="18"/>
    </row>
    <row r="50" spans="1:14" ht="16.5" thickTop="1" thickBot="1">
      <c r="L50" s="18">
        <v>21</v>
      </c>
      <c r="M50" s="18"/>
      <c r="N50" s="18">
        <v>27</v>
      </c>
    </row>
    <row r="51" spans="1:14" ht="16.5" thickTop="1" thickBot="1">
      <c r="B51" s="14" t="s">
        <v>63</v>
      </c>
      <c r="C51" s="17" t="s">
        <v>64</v>
      </c>
      <c r="D51" s="16" t="s">
        <v>65</v>
      </c>
      <c r="E51" s="15" t="s">
        <v>66</v>
      </c>
      <c r="F51" s="17" t="s">
        <v>68</v>
      </c>
      <c r="G51" s="14" t="s">
        <v>67</v>
      </c>
      <c r="H51" s="16" t="s">
        <v>69</v>
      </c>
      <c r="I51" s="15" t="s">
        <v>71</v>
      </c>
      <c r="J51" s="14" t="s">
        <v>72</v>
      </c>
      <c r="K51" s="14" t="s">
        <v>75</v>
      </c>
    </row>
    <row r="52" spans="1:14" ht="15.75" thickTop="1">
      <c r="A52" t="s">
        <v>140</v>
      </c>
    </row>
    <row r="53" spans="1:14" ht="15.75" thickBot="1"/>
    <row r="54" spans="1:14" ht="16.5" thickTop="1" thickBot="1">
      <c r="A54" t="s">
        <v>56</v>
      </c>
      <c r="B54" s="14">
        <v>126</v>
      </c>
      <c r="C54" s="17">
        <v>213</v>
      </c>
      <c r="D54" s="16">
        <v>290</v>
      </c>
      <c r="E54" s="15">
        <v>465</v>
      </c>
      <c r="F54" s="17">
        <v>157</v>
      </c>
      <c r="G54" s="14">
        <v>183</v>
      </c>
      <c r="H54" s="16">
        <v>248</v>
      </c>
      <c r="I54" s="15">
        <v>345</v>
      </c>
      <c r="J54" s="14">
        <v>183</v>
      </c>
      <c r="K54" s="14">
        <v>1</v>
      </c>
    </row>
    <row r="55" spans="1:14" ht="16.5" thickTop="1" thickBot="1">
      <c r="A55" t="s">
        <v>57</v>
      </c>
      <c r="B55" s="14">
        <v>157</v>
      </c>
      <c r="C55" s="17">
        <v>248</v>
      </c>
      <c r="D55" s="16">
        <v>345</v>
      </c>
      <c r="E55" s="15">
        <v>545</v>
      </c>
      <c r="F55" s="17">
        <v>345</v>
      </c>
      <c r="G55" s="14">
        <v>465</v>
      </c>
      <c r="H55" s="16">
        <v>890</v>
      </c>
      <c r="I55" s="15">
        <v>645</v>
      </c>
      <c r="J55" s="14">
        <v>345</v>
      </c>
      <c r="K55" s="14">
        <v>395</v>
      </c>
    </row>
    <row r="56" spans="1:14" ht="16.5" thickTop="1" thickBot="1">
      <c r="A56" t="s">
        <v>58</v>
      </c>
      <c r="B56" s="14">
        <v>1</v>
      </c>
      <c r="C56" s="17">
        <v>1</v>
      </c>
      <c r="D56" s="16">
        <v>1</v>
      </c>
      <c r="E56" s="15">
        <v>1</v>
      </c>
      <c r="F56" s="17">
        <v>1</v>
      </c>
      <c r="G56" s="14">
        <v>1040</v>
      </c>
      <c r="H56" s="16">
        <v>1190</v>
      </c>
      <c r="I56" s="15">
        <v>1040</v>
      </c>
      <c r="J56" s="14">
        <v>750</v>
      </c>
      <c r="K56" s="14">
        <v>1</v>
      </c>
    </row>
    <row r="57" spans="1:14" ht="16.5" thickTop="1" thickBot="1">
      <c r="A57" t="s">
        <v>60</v>
      </c>
      <c r="B57" s="14">
        <v>126</v>
      </c>
      <c r="C57" s="17">
        <v>183</v>
      </c>
      <c r="D57" s="16">
        <v>265</v>
      </c>
      <c r="E57" s="15">
        <v>465</v>
      </c>
      <c r="F57" s="17">
        <v>187</v>
      </c>
      <c r="G57" s="14">
        <v>290</v>
      </c>
      <c r="H57" s="16">
        <v>1</v>
      </c>
      <c r="I57" s="15">
        <v>1</v>
      </c>
      <c r="J57" s="14">
        <v>1</v>
      </c>
      <c r="K57" s="14">
        <v>1</v>
      </c>
    </row>
    <row r="58" spans="1:14" ht="15.75" thickTop="1"/>
    <row r="59" spans="1:14" ht="15.75" thickBot="1">
      <c r="A59" t="s">
        <v>142</v>
      </c>
    </row>
    <row r="60" spans="1:14" ht="16.5" thickTop="1" thickBot="1">
      <c r="A60" t="s">
        <v>139</v>
      </c>
      <c r="B60" s="14" t="s">
        <v>63</v>
      </c>
      <c r="C60" s="17" t="s">
        <v>64</v>
      </c>
      <c r="D60" s="16" t="s">
        <v>65</v>
      </c>
      <c r="E60" s="15" t="s">
        <v>66</v>
      </c>
      <c r="F60" s="17" t="s">
        <v>68</v>
      </c>
      <c r="G60" s="14" t="s">
        <v>67</v>
      </c>
      <c r="H60" s="16" t="s">
        <v>69</v>
      </c>
      <c r="I60" s="15" t="s">
        <v>71</v>
      </c>
      <c r="J60" s="14" t="s">
        <v>72</v>
      </c>
      <c r="K60" s="14" t="s">
        <v>75</v>
      </c>
    </row>
    <row r="61" spans="1:14" ht="15.75" thickTop="1">
      <c r="A61" t="s">
        <v>138</v>
      </c>
    </row>
    <row r="62" spans="1:14" ht="15.75" thickBot="1"/>
    <row r="63" spans="1:14" ht="16.5" thickTop="1" thickBot="1">
      <c r="A63" t="s">
        <v>56</v>
      </c>
      <c r="B63" s="14">
        <f>B46*(M16/B16)</f>
        <v>2860.0000000000005</v>
      </c>
      <c r="C63" s="17">
        <f t="shared" ref="C63:J63" si="4">C46*(N16/C16)</f>
        <v>2940</v>
      </c>
      <c r="D63" s="16">
        <f t="shared" si="4"/>
        <v>2900</v>
      </c>
      <c r="E63" s="15">
        <f t="shared" si="4"/>
        <v>2820</v>
      </c>
      <c r="F63" s="17">
        <f t="shared" si="4"/>
        <v>2400</v>
      </c>
      <c r="G63" s="14">
        <f t="shared" si="4"/>
        <v>2880</v>
      </c>
      <c r="H63" s="16">
        <f t="shared" si="4"/>
        <v>3000</v>
      </c>
      <c r="I63" s="15">
        <f t="shared" si="4"/>
        <v>3060</v>
      </c>
      <c r="J63" s="14">
        <f t="shared" si="4"/>
        <v>2880</v>
      </c>
      <c r="K63" s="14">
        <f>K64*N25</f>
        <v>2800</v>
      </c>
    </row>
    <row r="64" spans="1:14" ht="16.5" thickTop="1" thickBot="1">
      <c r="A64" t="s">
        <v>57</v>
      </c>
      <c r="B64" s="14">
        <f t="shared" ref="B64:B66" si="5">B47*(M17/B17)</f>
        <v>5250</v>
      </c>
      <c r="C64" s="17">
        <f t="shared" ref="C64:C66" si="6">C47*(N17/C17)</f>
        <v>5500</v>
      </c>
      <c r="D64" s="16">
        <f t="shared" ref="D64:D66" si="7">D47*(O17/D17)</f>
        <v>5440</v>
      </c>
      <c r="E64" s="15">
        <f t="shared" ref="E64:E66" si="8">E47*(P17/E17)</f>
        <v>5400</v>
      </c>
      <c r="F64" s="17">
        <f t="shared" ref="F64:F66" si="9">F47*(Q17/F17)</f>
        <v>5440</v>
      </c>
      <c r="G64" s="14">
        <f t="shared" ref="G64:G66" si="10">G47*(R17/G17)</f>
        <v>5640</v>
      </c>
      <c r="H64" s="16">
        <f t="shared" ref="H64:H66" si="11">H47*(S17/H17)</f>
        <v>5340</v>
      </c>
      <c r="I64" s="15">
        <f t="shared" ref="I64:I66" si="12">I47*(T17/I17)</f>
        <v>5760</v>
      </c>
      <c r="J64" s="14">
        <f t="shared" ref="J64:J66" si="13">J47*(U17/J17)</f>
        <v>5440</v>
      </c>
      <c r="K64" s="14">
        <f>K47*(W27/W17)</f>
        <v>5600</v>
      </c>
    </row>
    <row r="65" spans="1:11" ht="16.5" thickTop="1" thickBot="1">
      <c r="A65" t="s">
        <v>58</v>
      </c>
      <c r="B65" s="14">
        <f t="shared" si="5"/>
        <v>10640</v>
      </c>
      <c r="C65" s="17">
        <f t="shared" si="6"/>
        <v>10868.000000000002</v>
      </c>
      <c r="D65" s="16">
        <f t="shared" si="7"/>
        <v>10944</v>
      </c>
      <c r="E65" s="15">
        <f t="shared" si="8"/>
        <v>11020</v>
      </c>
      <c r="F65" s="17">
        <f t="shared" si="9"/>
        <v>10944</v>
      </c>
      <c r="G65" s="14">
        <f t="shared" si="10"/>
        <v>10400</v>
      </c>
      <c r="H65" s="16">
        <f t="shared" si="11"/>
        <v>10710</v>
      </c>
      <c r="I65" s="15">
        <f t="shared" si="12"/>
        <v>10400</v>
      </c>
      <c r="J65" s="14">
        <f t="shared" si="13"/>
        <v>8880</v>
      </c>
      <c r="K65" s="14">
        <f>K64*$N$33</f>
        <v>10640</v>
      </c>
    </row>
    <row r="66" spans="1:11" ht="16.5" thickTop="1" thickBot="1">
      <c r="A66" t="s">
        <v>60</v>
      </c>
      <c r="B66" s="14">
        <f t="shared" si="5"/>
        <v>7279.9999999999991</v>
      </c>
      <c r="C66" s="17">
        <f t="shared" si="6"/>
        <v>7379.9999999999991</v>
      </c>
      <c r="D66" s="16">
        <f t="shared" si="7"/>
        <v>7020</v>
      </c>
      <c r="E66" s="15">
        <f t="shared" si="8"/>
        <v>7520</v>
      </c>
      <c r="F66" s="17">
        <f t="shared" si="9"/>
        <v>7379.9999999999991</v>
      </c>
      <c r="G66" s="14">
        <f t="shared" si="10"/>
        <v>7540</v>
      </c>
      <c r="H66" s="16">
        <f t="shared" si="11"/>
        <v>9020</v>
      </c>
      <c r="I66" s="15">
        <f t="shared" si="12"/>
        <v>9020</v>
      </c>
      <c r="J66" s="14">
        <f t="shared" si="13"/>
        <v>8960</v>
      </c>
      <c r="K66" s="14"/>
    </row>
    <row r="67" spans="1:11" ht="16.5" thickTop="1" thickBot="1"/>
    <row r="68" spans="1:11" ht="16.5" thickTop="1" thickBot="1">
      <c r="B68" s="14" t="s">
        <v>63</v>
      </c>
      <c r="C68" s="17" t="s">
        <v>64</v>
      </c>
      <c r="D68" s="16" t="s">
        <v>65</v>
      </c>
      <c r="E68" s="15" t="s">
        <v>66</v>
      </c>
      <c r="F68" s="17" t="s">
        <v>68</v>
      </c>
      <c r="G68" s="14" t="s">
        <v>67</v>
      </c>
      <c r="H68" s="16" t="s">
        <v>69</v>
      </c>
      <c r="I68" s="15" t="s">
        <v>71</v>
      </c>
      <c r="J68" s="14" t="s">
        <v>72</v>
      </c>
      <c r="K68" s="14" t="s">
        <v>75</v>
      </c>
    </row>
    <row r="69" spans="1:11" ht="15.75" thickTop="1">
      <c r="A69" t="s">
        <v>140</v>
      </c>
    </row>
    <row r="70" spans="1:11" ht="15.75" thickBot="1"/>
    <row r="71" spans="1:11" ht="16.5" thickTop="1" thickBot="1">
      <c r="A71" t="s">
        <v>56</v>
      </c>
      <c r="B71" s="14">
        <f>0.1*B63</f>
        <v>286.00000000000006</v>
      </c>
      <c r="C71" s="17">
        <f t="shared" ref="C71:K71" si="14">0.1*C63</f>
        <v>294</v>
      </c>
      <c r="D71" s="16">
        <f t="shared" si="14"/>
        <v>290</v>
      </c>
      <c r="E71" s="15">
        <f t="shared" si="14"/>
        <v>282</v>
      </c>
      <c r="F71" s="17">
        <f t="shared" si="14"/>
        <v>240</v>
      </c>
      <c r="G71" s="14">
        <f t="shared" si="14"/>
        <v>288</v>
      </c>
      <c r="H71" s="16">
        <f t="shared" si="14"/>
        <v>300</v>
      </c>
      <c r="I71" s="15">
        <f t="shared" si="14"/>
        <v>306</v>
      </c>
      <c r="J71" s="14">
        <f t="shared" si="14"/>
        <v>288</v>
      </c>
      <c r="K71" s="14">
        <f t="shared" si="14"/>
        <v>280</v>
      </c>
    </row>
    <row r="72" spans="1:11" ht="16.5" thickTop="1" thickBot="1">
      <c r="A72" t="s">
        <v>57</v>
      </c>
      <c r="B72" s="14">
        <f t="shared" ref="B72:K72" si="15">0.1*B64</f>
        <v>525</v>
      </c>
      <c r="C72" s="17">
        <f t="shared" si="15"/>
        <v>550</v>
      </c>
      <c r="D72" s="16">
        <f t="shared" si="15"/>
        <v>544</v>
      </c>
      <c r="E72" s="15">
        <f t="shared" si="15"/>
        <v>540</v>
      </c>
      <c r="F72" s="17">
        <f t="shared" si="15"/>
        <v>544</v>
      </c>
      <c r="G72" s="14">
        <f t="shared" si="15"/>
        <v>564</v>
      </c>
      <c r="H72" s="16">
        <f t="shared" si="15"/>
        <v>534</v>
      </c>
      <c r="I72" s="15">
        <f t="shared" si="15"/>
        <v>576</v>
      </c>
      <c r="J72" s="14">
        <f t="shared" si="15"/>
        <v>544</v>
      </c>
      <c r="K72" s="14">
        <f t="shared" si="15"/>
        <v>560</v>
      </c>
    </row>
    <row r="73" spans="1:11" ht="16.5" thickTop="1" thickBot="1">
      <c r="A73" t="s">
        <v>58</v>
      </c>
      <c r="B73" s="14">
        <f t="shared" ref="B73:K73" si="16">0.1*B65</f>
        <v>1064</v>
      </c>
      <c r="C73" s="17">
        <f t="shared" si="16"/>
        <v>1086.8000000000002</v>
      </c>
      <c r="D73" s="16">
        <f t="shared" si="16"/>
        <v>1094.4000000000001</v>
      </c>
      <c r="E73" s="15">
        <f t="shared" si="16"/>
        <v>1102</v>
      </c>
      <c r="F73" s="17">
        <f t="shared" si="16"/>
        <v>1094.4000000000001</v>
      </c>
      <c r="G73" s="14">
        <f t="shared" si="16"/>
        <v>1040</v>
      </c>
      <c r="H73" s="16">
        <f t="shared" si="16"/>
        <v>1071</v>
      </c>
      <c r="I73" s="15">
        <f t="shared" si="16"/>
        <v>1040</v>
      </c>
      <c r="J73" s="14">
        <f t="shared" si="16"/>
        <v>888</v>
      </c>
      <c r="K73" s="14">
        <f t="shared" si="16"/>
        <v>1064</v>
      </c>
    </row>
    <row r="74" spans="1:11" ht="16.5" thickTop="1" thickBot="1">
      <c r="A74" t="s">
        <v>60</v>
      </c>
      <c r="B74" s="14">
        <f t="shared" ref="B74:K74" si="17">0.1*B66</f>
        <v>728</v>
      </c>
      <c r="C74" s="17">
        <f t="shared" si="17"/>
        <v>738</v>
      </c>
      <c r="D74" s="16">
        <f t="shared" si="17"/>
        <v>702</v>
      </c>
      <c r="E74" s="15">
        <f t="shared" si="17"/>
        <v>752</v>
      </c>
      <c r="F74" s="17">
        <f t="shared" si="17"/>
        <v>738</v>
      </c>
      <c r="G74" s="14">
        <f t="shared" si="17"/>
        <v>754</v>
      </c>
      <c r="H74" s="16">
        <f t="shared" si="17"/>
        <v>902</v>
      </c>
      <c r="I74" s="15">
        <f t="shared" si="17"/>
        <v>902</v>
      </c>
      <c r="J74" s="14">
        <f t="shared" si="17"/>
        <v>896</v>
      </c>
      <c r="K74" s="14">
        <f t="shared" si="17"/>
        <v>0</v>
      </c>
    </row>
    <row r="75" spans="1:11" ht="16.5" thickTop="1" thickBot="1">
      <c r="I75" s="22"/>
    </row>
    <row r="76" spans="1:11" ht="16.5" thickTop="1" thickBot="1">
      <c r="A76" t="s">
        <v>150</v>
      </c>
      <c r="B76" s="14" t="s">
        <v>63</v>
      </c>
      <c r="C76" s="17" t="s">
        <v>64</v>
      </c>
      <c r="D76" s="16" t="s">
        <v>65</v>
      </c>
      <c r="E76" s="15" t="s">
        <v>66</v>
      </c>
      <c r="F76" s="17" t="s">
        <v>68</v>
      </c>
      <c r="G76" s="14" t="s">
        <v>67</v>
      </c>
      <c r="H76" s="16" t="s">
        <v>69</v>
      </c>
      <c r="I76" s="15" t="s">
        <v>71</v>
      </c>
      <c r="J76" s="14" t="s">
        <v>72</v>
      </c>
      <c r="K76" s="14" t="s">
        <v>75</v>
      </c>
    </row>
    <row r="77" spans="1:11" ht="15.75" thickTop="1">
      <c r="A77" t="s">
        <v>59</v>
      </c>
    </row>
    <row r="78" spans="1:11" ht="15.75" thickBot="1"/>
    <row r="79" spans="1:11" ht="16.5" thickTop="1" thickBot="1">
      <c r="A79" t="s">
        <v>143</v>
      </c>
      <c r="B79" s="17">
        <v>3500</v>
      </c>
      <c r="C79" s="17">
        <v>3500</v>
      </c>
      <c r="D79" s="17">
        <v>3500</v>
      </c>
      <c r="E79" s="17">
        <v>3500</v>
      </c>
      <c r="F79" s="17">
        <v>3500</v>
      </c>
      <c r="G79" s="17">
        <v>3500</v>
      </c>
      <c r="H79" s="17">
        <v>3500</v>
      </c>
      <c r="I79" s="17">
        <v>3500</v>
      </c>
      <c r="J79" s="17">
        <v>3500</v>
      </c>
      <c r="K79" s="17">
        <v>3500</v>
      </c>
    </row>
    <row r="80" spans="1:11" ht="16.5" thickTop="1" thickBot="1">
      <c r="A80" t="s">
        <v>144</v>
      </c>
      <c r="B80" s="17">
        <v>3500</v>
      </c>
      <c r="C80" s="17">
        <v>3500</v>
      </c>
      <c r="D80" s="17">
        <v>3500</v>
      </c>
      <c r="E80" s="17">
        <v>3500</v>
      </c>
      <c r="F80" s="17">
        <v>3500</v>
      </c>
      <c r="G80" s="17">
        <v>3500</v>
      </c>
      <c r="H80" s="17">
        <v>3500</v>
      </c>
      <c r="I80" s="17">
        <v>3500</v>
      </c>
      <c r="J80" s="17">
        <v>3500</v>
      </c>
      <c r="K80" s="17">
        <v>3500</v>
      </c>
    </row>
    <row r="81" spans="1:11" ht="16.5" thickTop="1" thickBot="1">
      <c r="A81" t="s">
        <v>145</v>
      </c>
      <c r="B81" s="17">
        <v>43300</v>
      </c>
      <c r="C81" s="17">
        <v>43300</v>
      </c>
      <c r="D81" s="17">
        <v>43300</v>
      </c>
      <c r="E81" s="17">
        <v>43300</v>
      </c>
      <c r="F81" s="17">
        <v>43300</v>
      </c>
      <c r="G81" s="17">
        <v>43300</v>
      </c>
      <c r="H81" s="17">
        <v>43300</v>
      </c>
      <c r="I81" s="17">
        <v>43300</v>
      </c>
      <c r="J81" s="17">
        <v>43300</v>
      </c>
      <c r="K81" s="17">
        <v>43300</v>
      </c>
    </row>
    <row r="82" spans="1:11" ht="16.5" thickTop="1" thickBot="1">
      <c r="A82" t="s">
        <v>146</v>
      </c>
      <c r="B82" s="17">
        <v>43300</v>
      </c>
      <c r="C82" s="17">
        <v>43300</v>
      </c>
      <c r="D82" s="17">
        <v>43300</v>
      </c>
      <c r="E82" s="17">
        <v>43300</v>
      </c>
      <c r="F82" s="17">
        <v>43300</v>
      </c>
      <c r="G82" s="17">
        <v>43300</v>
      </c>
      <c r="H82" s="17">
        <v>43300</v>
      </c>
      <c r="I82" s="17">
        <v>43300</v>
      </c>
      <c r="J82" s="17">
        <v>43300</v>
      </c>
      <c r="K82" s="17">
        <v>43300</v>
      </c>
    </row>
    <row r="83" spans="1:11" ht="16.5" thickTop="1" thickBot="1">
      <c r="A83" t="s">
        <v>147</v>
      </c>
      <c r="B83" s="17">
        <v>43300</v>
      </c>
      <c r="C83" s="17">
        <v>43300</v>
      </c>
      <c r="D83" s="17">
        <v>43300</v>
      </c>
      <c r="E83" s="17">
        <v>43300</v>
      </c>
      <c r="F83" s="17">
        <v>43300</v>
      </c>
      <c r="G83" s="17">
        <v>43300</v>
      </c>
      <c r="H83" s="17">
        <v>43300</v>
      </c>
      <c r="I83" s="17">
        <v>43300</v>
      </c>
      <c r="J83" s="17">
        <v>43300</v>
      </c>
      <c r="K83" s="17">
        <v>43300</v>
      </c>
    </row>
    <row r="84" spans="1:11" ht="16.5" thickTop="1" thickBot="1">
      <c r="A84" t="s">
        <v>148</v>
      </c>
      <c r="B84" s="17">
        <v>69300</v>
      </c>
      <c r="C84" s="17">
        <v>69300</v>
      </c>
      <c r="D84" s="17">
        <v>69300</v>
      </c>
      <c r="E84" s="17">
        <v>69300</v>
      </c>
      <c r="F84" s="17">
        <v>69300</v>
      </c>
      <c r="G84" s="17">
        <v>69300</v>
      </c>
      <c r="H84" s="17">
        <v>69300</v>
      </c>
      <c r="I84" s="17">
        <v>69300</v>
      </c>
      <c r="J84" s="17">
        <v>69300</v>
      </c>
      <c r="K84" s="17">
        <v>69300</v>
      </c>
    </row>
    <row r="85" spans="1:11" ht="16.5" thickTop="1" thickBot="1">
      <c r="A85" t="s">
        <v>149</v>
      </c>
      <c r="B85" s="17">
        <v>69300</v>
      </c>
      <c r="C85" s="17">
        <v>69300</v>
      </c>
      <c r="D85" s="17">
        <v>69300</v>
      </c>
      <c r="E85" s="17">
        <v>69300</v>
      </c>
      <c r="F85" s="17">
        <v>69300</v>
      </c>
      <c r="G85" s="17">
        <v>69300</v>
      </c>
      <c r="H85" s="17">
        <v>69300</v>
      </c>
      <c r="I85" s="17">
        <v>69300</v>
      </c>
      <c r="J85" s="17">
        <v>69300</v>
      </c>
      <c r="K85" s="17">
        <v>69300</v>
      </c>
    </row>
    <row r="86" spans="1:11" ht="16.5" thickTop="1" thickBot="1"/>
    <row r="87" spans="1:11" ht="16.5" thickTop="1" thickBot="1">
      <c r="A87" t="s">
        <v>151</v>
      </c>
      <c r="B87" s="14" t="s">
        <v>63</v>
      </c>
      <c r="C87" s="17" t="s">
        <v>64</v>
      </c>
      <c r="D87" s="16" t="s">
        <v>65</v>
      </c>
      <c r="E87" s="15" t="s">
        <v>66</v>
      </c>
      <c r="F87" s="17" t="s">
        <v>68</v>
      </c>
      <c r="G87" s="14" t="s">
        <v>67</v>
      </c>
      <c r="H87" s="16" t="s">
        <v>69</v>
      </c>
      <c r="I87" s="15" t="s">
        <v>71</v>
      </c>
      <c r="J87" s="14" t="s">
        <v>72</v>
      </c>
      <c r="K87" s="14" t="s">
        <v>75</v>
      </c>
    </row>
    <row r="88" spans="1:11" ht="15.75" thickTop="1">
      <c r="A88" t="s">
        <v>59</v>
      </c>
    </row>
    <row r="89" spans="1:11" ht="15.75" thickBot="1"/>
    <row r="90" spans="1:11" ht="16.5" thickTop="1" thickBot="1">
      <c r="A90" t="s">
        <v>143</v>
      </c>
      <c r="B90" s="17">
        <f>B79*$N$40</f>
        <v>19600</v>
      </c>
      <c r="C90" s="17">
        <f t="shared" ref="C90:K90" si="18">C79*$N$40</f>
        <v>19600</v>
      </c>
      <c r="D90" s="17">
        <f t="shared" si="18"/>
        <v>19600</v>
      </c>
      <c r="E90" s="17">
        <f t="shared" si="18"/>
        <v>19600</v>
      </c>
      <c r="F90" s="17">
        <f t="shared" si="18"/>
        <v>19600</v>
      </c>
      <c r="G90" s="17">
        <f t="shared" si="18"/>
        <v>19600</v>
      </c>
      <c r="H90" s="17">
        <f t="shared" si="18"/>
        <v>19600</v>
      </c>
      <c r="I90" s="17">
        <f t="shared" si="18"/>
        <v>19600</v>
      </c>
      <c r="J90" s="17">
        <f t="shared" si="18"/>
        <v>19600</v>
      </c>
      <c r="K90" s="17">
        <f t="shared" si="18"/>
        <v>19600</v>
      </c>
    </row>
    <row r="91" spans="1:11" ht="16.5" thickTop="1" thickBot="1">
      <c r="A91" t="s">
        <v>144</v>
      </c>
      <c r="B91" s="17">
        <f>B90*$N$30</f>
        <v>23520</v>
      </c>
      <c r="C91" s="17">
        <f t="shared" ref="C91:K91" si="19">C90*$N$30</f>
        <v>23520</v>
      </c>
      <c r="D91" s="17">
        <f t="shared" si="19"/>
        <v>23520</v>
      </c>
      <c r="E91" s="17">
        <f t="shared" si="19"/>
        <v>23520</v>
      </c>
      <c r="F91" s="17">
        <f t="shared" si="19"/>
        <v>23520</v>
      </c>
      <c r="G91" s="17">
        <f t="shared" si="19"/>
        <v>23520</v>
      </c>
      <c r="H91" s="17">
        <f t="shared" si="19"/>
        <v>23520</v>
      </c>
      <c r="I91" s="17">
        <f t="shared" si="19"/>
        <v>23520</v>
      </c>
      <c r="J91" s="17">
        <f t="shared" si="19"/>
        <v>23520</v>
      </c>
      <c r="K91" s="17">
        <f t="shared" si="19"/>
        <v>23520</v>
      </c>
    </row>
    <row r="92" spans="1:11" ht="16.5" thickTop="1" thickBot="1">
      <c r="A92" t="s">
        <v>145</v>
      </c>
      <c r="B92" s="17">
        <f>B91*$N$31</f>
        <v>32928</v>
      </c>
      <c r="C92" s="17">
        <f t="shared" ref="C92:K92" si="20">C91*$N$31</f>
        <v>32928</v>
      </c>
      <c r="D92" s="17">
        <f t="shared" si="20"/>
        <v>32928</v>
      </c>
      <c r="E92" s="17">
        <f t="shared" si="20"/>
        <v>32928</v>
      </c>
      <c r="F92" s="17">
        <f t="shared" si="20"/>
        <v>32928</v>
      </c>
      <c r="G92" s="17">
        <f t="shared" si="20"/>
        <v>32928</v>
      </c>
      <c r="H92" s="17">
        <f t="shared" si="20"/>
        <v>32928</v>
      </c>
      <c r="I92" s="17">
        <f t="shared" si="20"/>
        <v>32928</v>
      </c>
      <c r="J92" s="17">
        <f t="shared" si="20"/>
        <v>32928</v>
      </c>
      <c r="K92" s="17">
        <f t="shared" si="20"/>
        <v>32928</v>
      </c>
    </row>
    <row r="93" spans="1:11" ht="16.5" thickTop="1" thickBot="1">
      <c r="A93" t="s">
        <v>146</v>
      </c>
      <c r="B93" s="17">
        <f>B92*$N$30</f>
        <v>39513.599999999999</v>
      </c>
      <c r="C93" s="17">
        <f t="shared" ref="C93:K93" si="21">C92*$N$30</f>
        <v>39513.599999999999</v>
      </c>
      <c r="D93" s="17">
        <f t="shared" si="21"/>
        <v>39513.599999999999</v>
      </c>
      <c r="E93" s="17">
        <f t="shared" si="21"/>
        <v>39513.599999999999</v>
      </c>
      <c r="F93" s="17">
        <f t="shared" si="21"/>
        <v>39513.599999999999</v>
      </c>
      <c r="G93" s="17">
        <f t="shared" si="21"/>
        <v>39513.599999999999</v>
      </c>
      <c r="H93" s="17">
        <f t="shared" si="21"/>
        <v>39513.599999999999</v>
      </c>
      <c r="I93" s="17">
        <f t="shared" si="21"/>
        <v>39513.599999999999</v>
      </c>
      <c r="J93" s="17">
        <f t="shared" si="21"/>
        <v>39513.599999999999</v>
      </c>
      <c r="K93" s="17">
        <f t="shared" si="21"/>
        <v>39513.599999999999</v>
      </c>
    </row>
    <row r="94" spans="1:11" ht="16.5" thickTop="1" thickBot="1">
      <c r="A94" t="s">
        <v>147</v>
      </c>
      <c r="B94" s="17">
        <f>B93*$N$32</f>
        <v>63221.760000000002</v>
      </c>
      <c r="C94" s="17">
        <f t="shared" ref="C94:K94" si="22">C93*$N$32</f>
        <v>63221.760000000002</v>
      </c>
      <c r="D94" s="17">
        <f t="shared" si="22"/>
        <v>63221.760000000002</v>
      </c>
      <c r="E94" s="17">
        <f t="shared" si="22"/>
        <v>63221.760000000002</v>
      </c>
      <c r="F94" s="17">
        <f t="shared" si="22"/>
        <v>63221.760000000002</v>
      </c>
      <c r="G94" s="17">
        <f t="shared" si="22"/>
        <v>63221.760000000002</v>
      </c>
      <c r="H94" s="17">
        <f t="shared" si="22"/>
        <v>63221.760000000002</v>
      </c>
      <c r="I94" s="17">
        <f t="shared" si="22"/>
        <v>63221.760000000002</v>
      </c>
      <c r="J94" s="17">
        <f t="shared" si="22"/>
        <v>63221.760000000002</v>
      </c>
      <c r="K94" s="17">
        <f t="shared" si="22"/>
        <v>63221.760000000002</v>
      </c>
    </row>
    <row r="95" spans="1:11" ht="16.5" thickTop="1" thickBot="1">
      <c r="A95" t="s">
        <v>148</v>
      </c>
      <c r="B95" s="17">
        <f>B94*$N$34</f>
        <v>139087.872</v>
      </c>
      <c r="C95" s="17">
        <f t="shared" ref="C95:K95" si="23">C94*$N$34</f>
        <v>139087.872</v>
      </c>
      <c r="D95" s="17">
        <f t="shared" si="23"/>
        <v>139087.872</v>
      </c>
      <c r="E95" s="17">
        <f t="shared" si="23"/>
        <v>139087.872</v>
      </c>
      <c r="F95" s="17">
        <f t="shared" si="23"/>
        <v>139087.872</v>
      </c>
      <c r="G95" s="17">
        <f t="shared" si="23"/>
        <v>139087.872</v>
      </c>
      <c r="H95" s="17">
        <f t="shared" si="23"/>
        <v>139087.872</v>
      </c>
      <c r="I95" s="17">
        <f t="shared" si="23"/>
        <v>139087.872</v>
      </c>
      <c r="J95" s="17">
        <f t="shared" si="23"/>
        <v>139087.872</v>
      </c>
      <c r="K95" s="17">
        <f t="shared" si="23"/>
        <v>139087.872</v>
      </c>
    </row>
    <row r="96" spans="1:11" ht="16.5" thickTop="1" thickBot="1">
      <c r="A96" t="s">
        <v>149</v>
      </c>
      <c r="B96" s="17">
        <f>B95*$N$33</f>
        <v>264266.95679999999</v>
      </c>
      <c r="C96" s="17">
        <f t="shared" ref="C96:K96" si="24">C95*$N$33</f>
        <v>264266.95679999999</v>
      </c>
      <c r="D96" s="17">
        <f t="shared" si="24"/>
        <v>264266.95679999999</v>
      </c>
      <c r="E96" s="17">
        <f t="shared" si="24"/>
        <v>264266.95679999999</v>
      </c>
      <c r="F96" s="17">
        <f t="shared" si="24"/>
        <v>264266.95679999999</v>
      </c>
      <c r="G96" s="17">
        <f t="shared" si="24"/>
        <v>264266.95679999999</v>
      </c>
      <c r="H96" s="17">
        <f t="shared" si="24"/>
        <v>264266.95679999999</v>
      </c>
      <c r="I96" s="17">
        <f t="shared" si="24"/>
        <v>264266.95679999999</v>
      </c>
      <c r="J96" s="17">
        <f t="shared" si="24"/>
        <v>264266.95679999999</v>
      </c>
      <c r="K96" s="17">
        <f t="shared" si="24"/>
        <v>264266.95679999999</v>
      </c>
    </row>
    <row r="97" spans="1:7" ht="15.75" thickTop="1"/>
    <row r="98" spans="1:7">
      <c r="A98" t="s">
        <v>152</v>
      </c>
      <c r="B98" s="24" t="s">
        <v>153</v>
      </c>
      <c r="C98" s="1"/>
      <c r="D98" s="1" t="s">
        <v>154</v>
      </c>
    </row>
    <row r="99" spans="1:7">
      <c r="A99" t="s">
        <v>59</v>
      </c>
      <c r="B99" s="1"/>
      <c r="C99" s="1"/>
      <c r="D99" s="1"/>
    </row>
    <row r="100" spans="1:7" ht="15.75" thickBot="1">
      <c r="B100" s="1"/>
      <c r="C100" s="1"/>
      <c r="D100" s="1"/>
    </row>
    <row r="101" spans="1:7" ht="16.5" thickTop="1" thickBot="1">
      <c r="A101" t="s">
        <v>143</v>
      </c>
      <c r="B101" s="25">
        <v>19500</v>
      </c>
      <c r="C101" s="1"/>
      <c r="D101" s="26">
        <f>B79/B101</f>
        <v>0.17948717948717949</v>
      </c>
      <c r="G101" t="s">
        <v>165</v>
      </c>
    </row>
    <row r="102" spans="1:7" ht="16.5" thickTop="1" thickBot="1">
      <c r="A102" t="s">
        <v>144</v>
      </c>
      <c r="B102" s="25">
        <v>23500</v>
      </c>
      <c r="C102" s="1"/>
      <c r="D102" s="26">
        <f t="shared" ref="D102:D107" si="25">B80/B102</f>
        <v>0.14893617021276595</v>
      </c>
      <c r="G102" t="s">
        <v>155</v>
      </c>
    </row>
    <row r="103" spans="1:7" ht="16.5" thickTop="1" thickBot="1">
      <c r="A103" t="s">
        <v>145</v>
      </c>
      <c r="B103" s="25">
        <v>33000</v>
      </c>
      <c r="C103" s="1"/>
      <c r="D103" s="26">
        <f t="shared" si="25"/>
        <v>1.312121212121212</v>
      </c>
      <c r="G103" t="s">
        <v>156</v>
      </c>
    </row>
    <row r="104" spans="1:7" ht="16.5" thickTop="1" thickBot="1">
      <c r="A104" t="s">
        <v>146</v>
      </c>
      <c r="B104" s="25">
        <v>40000</v>
      </c>
      <c r="C104" s="1"/>
      <c r="D104" s="26">
        <f t="shared" si="25"/>
        <v>1.0825</v>
      </c>
      <c r="G104" t="s">
        <v>157</v>
      </c>
    </row>
    <row r="105" spans="1:7" ht="16.5" thickTop="1" thickBot="1">
      <c r="A105" t="s">
        <v>147</v>
      </c>
      <c r="B105" s="25">
        <v>65000</v>
      </c>
      <c r="C105" s="1"/>
      <c r="D105" s="26">
        <f t="shared" si="25"/>
        <v>0.66615384615384621</v>
      </c>
      <c r="G105" t="s">
        <v>158</v>
      </c>
    </row>
    <row r="106" spans="1:7" ht="16.5" thickTop="1" thickBot="1">
      <c r="A106" t="s">
        <v>148</v>
      </c>
      <c r="B106" s="25">
        <v>140000</v>
      </c>
      <c r="C106" s="1"/>
      <c r="D106" s="26">
        <f t="shared" si="25"/>
        <v>0.495</v>
      </c>
      <c r="G106" t="s">
        <v>159</v>
      </c>
    </row>
    <row r="107" spans="1:7" ht="16.5" thickTop="1" thickBot="1">
      <c r="A107" t="s">
        <v>149</v>
      </c>
      <c r="B107" s="25">
        <v>230000</v>
      </c>
      <c r="C107" s="1"/>
      <c r="D107" s="26">
        <f t="shared" si="25"/>
        <v>0.30130434782608695</v>
      </c>
      <c r="G107" t="s">
        <v>160</v>
      </c>
    </row>
    <row r="108" spans="1:7" ht="15.75" thickTop="1">
      <c r="B108" s="23"/>
      <c r="C108" s="23"/>
      <c r="D108" s="23"/>
      <c r="G108" t="s">
        <v>161</v>
      </c>
    </row>
    <row r="109" spans="1:7">
      <c r="G109" t="s">
        <v>162</v>
      </c>
    </row>
    <row r="111" spans="1:7">
      <c r="G111" t="s">
        <v>163</v>
      </c>
    </row>
    <row r="112" spans="1:7">
      <c r="G112" t="s">
        <v>164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K23" sqref="K23"/>
    </sheetView>
  </sheetViews>
  <sheetFormatPr defaultRowHeight="15"/>
  <cols>
    <col min="1" max="1" width="42.42578125" customWidth="1"/>
    <col min="2" max="2" width="12.7109375" customWidth="1"/>
    <col min="3" max="3" width="19.28515625" customWidth="1"/>
    <col min="4" max="4" width="12.42578125" customWidth="1"/>
    <col min="5" max="5" width="18.140625" customWidth="1"/>
    <col min="6" max="6" width="12.7109375" customWidth="1"/>
    <col min="7" max="7" width="19.5703125" customWidth="1"/>
  </cols>
  <sheetData>
    <row r="1" spans="1:9">
      <c r="A1" t="s">
        <v>98</v>
      </c>
      <c r="B1" t="s">
        <v>113</v>
      </c>
      <c r="C1" t="s">
        <v>53</v>
      </c>
      <c r="D1" t="s">
        <v>114</v>
      </c>
      <c r="E1" t="s">
        <v>115</v>
      </c>
      <c r="F1" t="s">
        <v>116</v>
      </c>
      <c r="G1" t="s">
        <v>117</v>
      </c>
    </row>
    <row r="3" spans="1:9">
      <c r="A3" t="s">
        <v>110</v>
      </c>
      <c r="B3" s="1">
        <v>200</v>
      </c>
      <c r="C3" s="1">
        <v>25</v>
      </c>
      <c r="D3" s="1">
        <v>25</v>
      </c>
      <c r="E3" s="1">
        <v>1400</v>
      </c>
      <c r="F3" s="1">
        <v>6</v>
      </c>
      <c r="G3" s="1">
        <v>0</v>
      </c>
      <c r="I3" s="1"/>
    </row>
    <row r="4" spans="1:9">
      <c r="A4" t="s">
        <v>111</v>
      </c>
      <c r="B4" s="1">
        <v>200</v>
      </c>
      <c r="C4" s="1">
        <v>10</v>
      </c>
      <c r="D4" s="1">
        <v>7</v>
      </c>
      <c r="E4" s="1">
        <v>1200</v>
      </c>
      <c r="F4" s="1">
        <v>5</v>
      </c>
      <c r="G4" s="1">
        <v>0</v>
      </c>
      <c r="I4" s="1"/>
    </row>
    <row r="5" spans="1:9">
      <c r="A5" t="s">
        <v>119</v>
      </c>
      <c r="B5" s="1">
        <v>140</v>
      </c>
      <c r="C5" s="1">
        <v>8.5</v>
      </c>
      <c r="D5" s="1">
        <v>6</v>
      </c>
      <c r="E5" s="1">
        <v>1800</v>
      </c>
      <c r="F5" s="1">
        <v>10</v>
      </c>
      <c r="G5" s="1">
        <v>2</v>
      </c>
      <c r="I5" s="1"/>
    </row>
    <row r="6" spans="1:9">
      <c r="A6" t="s">
        <v>112</v>
      </c>
      <c r="B6" s="1">
        <v>200</v>
      </c>
      <c r="C6" s="1">
        <v>8</v>
      </c>
      <c r="D6" s="1">
        <v>8</v>
      </c>
      <c r="E6" s="1">
        <v>1600</v>
      </c>
      <c r="F6" s="1">
        <v>5.5</v>
      </c>
      <c r="G6" s="1">
        <v>2</v>
      </c>
      <c r="I6" s="1"/>
    </row>
    <row r="7" spans="1:9">
      <c r="A7" t="s">
        <v>121</v>
      </c>
      <c r="B7" s="1">
        <v>150</v>
      </c>
      <c r="C7" s="1">
        <v>9</v>
      </c>
      <c r="D7" s="1">
        <v>9</v>
      </c>
      <c r="E7" s="1">
        <v>1300</v>
      </c>
      <c r="F7" s="1">
        <v>8</v>
      </c>
      <c r="G7" s="1">
        <v>2</v>
      </c>
      <c r="I7" s="1"/>
    </row>
    <row r="8" spans="1:9">
      <c r="A8" t="s">
        <v>120</v>
      </c>
      <c r="B8" s="1">
        <v>200</v>
      </c>
      <c r="C8" s="1">
        <v>35</v>
      </c>
      <c r="D8" s="1">
        <v>30</v>
      </c>
      <c r="E8" s="1">
        <v>1300</v>
      </c>
      <c r="F8" s="1">
        <v>2</v>
      </c>
      <c r="G8" s="1">
        <v>15</v>
      </c>
      <c r="I8" s="1"/>
    </row>
    <row r="9" spans="1:9">
      <c r="A9" t="s">
        <v>125</v>
      </c>
      <c r="B9" s="1">
        <v>200</v>
      </c>
      <c r="C9" s="1">
        <v>400</v>
      </c>
      <c r="D9" s="1">
        <v>400</v>
      </c>
      <c r="E9" s="1">
        <v>2000</v>
      </c>
      <c r="F9" s="1">
        <v>1</v>
      </c>
      <c r="G9" s="1">
        <v>0</v>
      </c>
      <c r="I9" s="1"/>
    </row>
    <row r="10" spans="1:9">
      <c r="A10" t="s">
        <v>118</v>
      </c>
      <c r="B10" s="1">
        <v>200</v>
      </c>
      <c r="C10" s="1">
        <v>12</v>
      </c>
      <c r="D10" s="1">
        <v>11</v>
      </c>
      <c r="E10" s="1">
        <v>1500</v>
      </c>
      <c r="F10" s="1">
        <v>6</v>
      </c>
      <c r="G10" s="1">
        <v>3</v>
      </c>
      <c r="I10" s="1"/>
    </row>
    <row r="11" spans="1:9">
      <c r="A11" t="s">
        <v>124</v>
      </c>
      <c r="B11" s="1">
        <v>300</v>
      </c>
      <c r="C11" s="1">
        <v>8</v>
      </c>
      <c r="D11" s="1">
        <v>8</v>
      </c>
      <c r="E11" s="1">
        <v>1400</v>
      </c>
      <c r="F11" s="1">
        <v>8</v>
      </c>
      <c r="G11" s="1">
        <v>3</v>
      </c>
      <c r="I11" s="1"/>
    </row>
    <row r="12" spans="1:9">
      <c r="A12" t="s">
        <v>122</v>
      </c>
      <c r="B12" s="1">
        <v>400</v>
      </c>
      <c r="C12" s="1">
        <v>20</v>
      </c>
      <c r="D12" s="1">
        <v>15</v>
      </c>
      <c r="E12" s="1">
        <v>1400</v>
      </c>
      <c r="F12" s="1">
        <v>5</v>
      </c>
      <c r="G12" s="1">
        <v>5</v>
      </c>
      <c r="I12" s="1"/>
    </row>
    <row r="13" spans="1:9">
      <c r="A13" t="s">
        <v>123</v>
      </c>
      <c r="B13" s="1">
        <v>300</v>
      </c>
      <c r="C13" s="1">
        <v>30</v>
      </c>
      <c r="D13" s="1">
        <v>35</v>
      </c>
      <c r="E13" s="1">
        <v>1700</v>
      </c>
      <c r="F13" s="1">
        <v>2</v>
      </c>
      <c r="G13" s="1">
        <v>0</v>
      </c>
      <c r="I13" s="1"/>
    </row>
    <row r="14" spans="1:9">
      <c r="A14" t="s">
        <v>131</v>
      </c>
      <c r="B14" s="1">
        <v>170</v>
      </c>
      <c r="C14" s="1">
        <v>15</v>
      </c>
      <c r="D14" s="1">
        <v>10</v>
      </c>
      <c r="E14" s="1">
        <v>2000</v>
      </c>
      <c r="F14" s="1">
        <v>7</v>
      </c>
      <c r="G14" s="1">
        <v>0</v>
      </c>
      <c r="I14" s="1"/>
    </row>
    <row r="15" spans="1:9">
      <c r="A15" t="s">
        <v>132</v>
      </c>
      <c r="B15" s="1">
        <v>400</v>
      </c>
      <c r="C15" s="1">
        <v>15</v>
      </c>
      <c r="D15" s="1">
        <v>10</v>
      </c>
      <c r="E15" s="1">
        <v>1200</v>
      </c>
      <c r="F15" s="1">
        <v>7</v>
      </c>
      <c r="G15" s="1">
        <v>0</v>
      </c>
      <c r="I15" s="1"/>
    </row>
    <row r="16" spans="1:9">
      <c r="A16" t="s">
        <v>133</v>
      </c>
      <c r="B16" s="1">
        <v>2000</v>
      </c>
      <c r="C16" s="1">
        <v>1000</v>
      </c>
      <c r="D16" s="1">
        <v>1000</v>
      </c>
      <c r="E16" s="1">
        <v>1200</v>
      </c>
      <c r="F16" s="1">
        <v>1</v>
      </c>
      <c r="G16" s="1">
        <v>0</v>
      </c>
      <c r="I16" s="1"/>
    </row>
    <row r="19" spans="1:7">
      <c r="A19" t="s">
        <v>126</v>
      </c>
      <c r="B19" s="1" t="s">
        <v>128</v>
      </c>
      <c r="C19" s="1" t="s">
        <v>2</v>
      </c>
      <c r="D19" s="1" t="s">
        <v>1</v>
      </c>
      <c r="E19" s="1" t="s">
        <v>130</v>
      </c>
      <c r="F19" s="1" t="s">
        <v>129</v>
      </c>
      <c r="G19" s="1" t="s">
        <v>3</v>
      </c>
    </row>
    <row r="20" spans="1:7">
      <c r="A20" t="s">
        <v>99</v>
      </c>
      <c r="B20" s="4">
        <f>$B$38*(B3/E3)</f>
        <v>1.4285714285714284</v>
      </c>
      <c r="E20">
        <f>0.5*E3</f>
        <v>700</v>
      </c>
      <c r="F20">
        <f>1/F3</f>
        <v>0.16666666666666666</v>
      </c>
    </row>
    <row r="21" spans="1:7">
      <c r="A21" t="s">
        <v>100</v>
      </c>
      <c r="B21" s="4">
        <f t="shared" ref="B21:B30" si="0">$B$38*(B4/E4)</f>
        <v>1.6666666666666665</v>
      </c>
      <c r="E21">
        <f t="shared" ref="E21:E30" si="1">0.5*E4</f>
        <v>600</v>
      </c>
      <c r="F21">
        <f t="shared" ref="F21:F30" si="2">1/F4</f>
        <v>0.2</v>
      </c>
    </row>
    <row r="22" spans="1:7">
      <c r="A22" t="s">
        <v>101</v>
      </c>
      <c r="B22" s="4">
        <f t="shared" si="0"/>
        <v>0.77777777777777779</v>
      </c>
      <c r="E22">
        <f t="shared" si="1"/>
        <v>900</v>
      </c>
      <c r="F22">
        <f t="shared" si="2"/>
        <v>0.1</v>
      </c>
    </row>
    <row r="23" spans="1:7">
      <c r="A23" t="s">
        <v>102</v>
      </c>
      <c r="B23" s="4">
        <f t="shared" si="0"/>
        <v>1.25</v>
      </c>
      <c r="E23">
        <f t="shared" si="1"/>
        <v>800</v>
      </c>
      <c r="F23">
        <f t="shared" si="2"/>
        <v>0.18181818181818182</v>
      </c>
    </row>
    <row r="24" spans="1:7">
      <c r="A24" t="s">
        <v>103</v>
      </c>
      <c r="B24" s="4">
        <f t="shared" si="0"/>
        <v>1.153846153846154</v>
      </c>
      <c r="E24">
        <f t="shared" si="1"/>
        <v>650</v>
      </c>
      <c r="F24">
        <f t="shared" si="2"/>
        <v>0.125</v>
      </c>
    </row>
    <row r="25" spans="1:7">
      <c r="A25" t="s">
        <v>104</v>
      </c>
      <c r="B25" s="4">
        <f t="shared" si="0"/>
        <v>1.5384615384615385</v>
      </c>
      <c r="E25">
        <f t="shared" si="1"/>
        <v>650</v>
      </c>
      <c r="F25">
        <f t="shared" si="2"/>
        <v>0.5</v>
      </c>
    </row>
    <row r="26" spans="1:7">
      <c r="A26" t="s">
        <v>105</v>
      </c>
      <c r="B26" s="4">
        <f t="shared" si="0"/>
        <v>1</v>
      </c>
      <c r="E26">
        <f t="shared" si="1"/>
        <v>1000</v>
      </c>
      <c r="F26">
        <f t="shared" si="2"/>
        <v>1</v>
      </c>
    </row>
    <row r="27" spans="1:7">
      <c r="A27" t="s">
        <v>106</v>
      </c>
      <c r="B27" s="4">
        <f t="shared" si="0"/>
        <v>1.3333333333333333</v>
      </c>
      <c r="E27">
        <f t="shared" si="1"/>
        <v>750</v>
      </c>
      <c r="F27">
        <f t="shared" si="2"/>
        <v>0.16666666666666666</v>
      </c>
    </row>
    <row r="28" spans="1:7">
      <c r="A28" t="s">
        <v>107</v>
      </c>
      <c r="B28" s="4">
        <f t="shared" si="0"/>
        <v>2.1428571428571428</v>
      </c>
      <c r="E28">
        <f t="shared" si="1"/>
        <v>700</v>
      </c>
      <c r="F28">
        <f t="shared" si="2"/>
        <v>0.125</v>
      </c>
    </row>
    <row r="29" spans="1:7">
      <c r="A29" t="s">
        <v>108</v>
      </c>
      <c r="B29" s="4">
        <f t="shared" si="0"/>
        <v>2.8571428571428568</v>
      </c>
      <c r="E29">
        <f t="shared" si="1"/>
        <v>700</v>
      </c>
      <c r="F29">
        <f t="shared" si="2"/>
        <v>0.2</v>
      </c>
    </row>
    <row r="30" spans="1:7">
      <c r="A30" t="s">
        <v>109</v>
      </c>
      <c r="B30" s="4">
        <f t="shared" si="0"/>
        <v>1.7647058823529413</v>
      </c>
      <c r="E30">
        <f t="shared" si="1"/>
        <v>850</v>
      </c>
      <c r="F30">
        <f t="shared" si="2"/>
        <v>0.5</v>
      </c>
    </row>
    <row r="31" spans="1:7">
      <c r="B31" s="1"/>
      <c r="C31" s="1"/>
      <c r="D31" s="1"/>
      <c r="E31" s="1"/>
      <c r="F31" s="1"/>
      <c r="G31" s="1"/>
    </row>
    <row r="32" spans="1:7">
      <c r="A32" t="s">
        <v>136</v>
      </c>
      <c r="B32" s="1"/>
      <c r="C32" s="1"/>
      <c r="D32" s="1"/>
      <c r="E32" s="1"/>
      <c r="F32" s="1"/>
      <c r="G32" s="1"/>
    </row>
    <row r="33" spans="1:7">
      <c r="A33" t="s">
        <v>135</v>
      </c>
      <c r="B33" s="1"/>
      <c r="C33" s="1"/>
      <c r="D33" s="1"/>
      <c r="E33" s="1"/>
      <c r="F33" s="1"/>
      <c r="G33" s="1"/>
    </row>
    <row r="34" spans="1:7">
      <c r="A34" t="s">
        <v>134</v>
      </c>
    </row>
    <row r="37" spans="1:7">
      <c r="A37" t="s">
        <v>127</v>
      </c>
      <c r="B37" s="1" t="s">
        <v>128</v>
      </c>
      <c r="C37" s="1" t="s">
        <v>2</v>
      </c>
      <c r="D37" s="1" t="s">
        <v>1</v>
      </c>
      <c r="E37" s="1" t="s">
        <v>130</v>
      </c>
      <c r="F37" s="1" t="s">
        <v>129</v>
      </c>
      <c r="G37" s="1" t="s">
        <v>3</v>
      </c>
    </row>
    <row r="38" spans="1:7">
      <c r="B38">
        <v>10</v>
      </c>
      <c r="C38">
        <v>1</v>
      </c>
      <c r="D38">
        <v>1</v>
      </c>
      <c r="E38">
        <f>500/1400</f>
        <v>0.35714285714285715</v>
      </c>
      <c r="F38" s="4">
        <f>1/36</f>
        <v>2.7777777777777776E-2</v>
      </c>
      <c r="G38">
        <v>1</v>
      </c>
    </row>
    <row r="41" spans="1:7">
      <c r="A41" t="s">
        <v>137</v>
      </c>
      <c r="B41" s="4">
        <f>2000/1000</f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tabSelected="1" zoomScale="145" zoomScaleNormal="145" workbookViewId="0">
      <selection activeCell="I4" sqref="I4"/>
    </sheetView>
  </sheetViews>
  <sheetFormatPr defaultRowHeight="15"/>
  <cols>
    <col min="1" max="1" width="33.140625" customWidth="1"/>
    <col min="5" max="5" width="24.85546875" customWidth="1"/>
    <col min="6" max="6" width="23.28515625" customWidth="1"/>
  </cols>
  <sheetData>
    <row r="1" spans="1:7" ht="42.75" customHeight="1">
      <c r="A1" s="1" t="s">
        <v>180</v>
      </c>
      <c r="B1" s="1" t="s">
        <v>172</v>
      </c>
      <c r="C1" s="1"/>
      <c r="D1" s="1"/>
      <c r="E1" s="1" t="s">
        <v>173</v>
      </c>
      <c r="F1" s="1" t="s">
        <v>184</v>
      </c>
      <c r="G1" s="1"/>
    </row>
    <row r="2" spans="1:7">
      <c r="A2" s="24"/>
      <c r="B2" s="24">
        <v>1</v>
      </c>
      <c r="C2" s="24">
        <v>2</v>
      </c>
      <c r="D2" s="24">
        <v>3</v>
      </c>
      <c r="E2" s="24"/>
      <c r="F2" s="24"/>
      <c r="G2" s="24">
        <v>4</v>
      </c>
    </row>
    <row r="3" spans="1:7">
      <c r="A3" s="1" t="s">
        <v>166</v>
      </c>
      <c r="B3" s="1">
        <v>108</v>
      </c>
      <c r="C3" s="1">
        <f>B3*0.5</f>
        <v>54</v>
      </c>
      <c r="D3" s="1">
        <f>B3/3</f>
        <v>36</v>
      </c>
      <c r="E3" s="1" t="s">
        <v>175</v>
      </c>
      <c r="F3" s="1"/>
      <c r="G3" s="1">
        <f>B3/4</f>
        <v>27</v>
      </c>
    </row>
    <row r="4" spans="1:7">
      <c r="A4" s="1" t="s">
        <v>167</v>
      </c>
      <c r="B4" s="1">
        <v>12</v>
      </c>
      <c r="C4" s="1">
        <f t="shared" ref="C4:C14" si="0">B4*0.5</f>
        <v>6</v>
      </c>
      <c r="D4" s="1">
        <f t="shared" ref="D4:D14" si="1">B4/3</f>
        <v>4</v>
      </c>
      <c r="E4" s="1" t="s">
        <v>174</v>
      </c>
      <c r="F4" s="1"/>
      <c r="G4" s="1">
        <f t="shared" ref="G4:G18" si="2">B4/4</f>
        <v>3</v>
      </c>
    </row>
    <row r="5" spans="1:7">
      <c r="A5" s="27"/>
      <c r="B5" s="27">
        <v>1</v>
      </c>
      <c r="C5" s="27">
        <v>2</v>
      </c>
      <c r="D5" s="27">
        <v>3</v>
      </c>
      <c r="E5" s="27"/>
      <c r="F5" s="27"/>
      <c r="G5" s="27">
        <v>4</v>
      </c>
    </row>
    <row r="6" spans="1:7">
      <c r="A6" s="1" t="s">
        <v>168</v>
      </c>
      <c r="B6" s="1">
        <f t="shared" ref="B6:B8" si="3">B11/2</f>
        <v>600</v>
      </c>
      <c r="C6" s="1">
        <f t="shared" si="0"/>
        <v>300</v>
      </c>
      <c r="D6" s="1">
        <f t="shared" si="1"/>
        <v>200</v>
      </c>
      <c r="E6" s="1">
        <v>2</v>
      </c>
      <c r="F6" s="1"/>
      <c r="G6" s="1">
        <f t="shared" si="2"/>
        <v>150</v>
      </c>
    </row>
    <row r="7" spans="1:7">
      <c r="A7" s="1" t="s">
        <v>169</v>
      </c>
      <c r="B7" s="1">
        <f t="shared" si="3"/>
        <v>120</v>
      </c>
      <c r="C7" s="1">
        <f t="shared" si="0"/>
        <v>60</v>
      </c>
      <c r="D7" s="1">
        <f t="shared" si="1"/>
        <v>40</v>
      </c>
      <c r="E7" s="1" t="s">
        <v>175</v>
      </c>
      <c r="F7" s="1"/>
      <c r="G7" s="1">
        <f t="shared" si="2"/>
        <v>30</v>
      </c>
    </row>
    <row r="8" spans="1:7">
      <c r="A8" s="1" t="s">
        <v>170</v>
      </c>
      <c r="B8" s="1">
        <f t="shared" si="3"/>
        <v>30</v>
      </c>
      <c r="C8" s="1">
        <f t="shared" si="0"/>
        <v>15</v>
      </c>
      <c r="D8" s="1">
        <f t="shared" si="1"/>
        <v>10</v>
      </c>
      <c r="E8" s="1" t="s">
        <v>175</v>
      </c>
      <c r="F8" s="1"/>
      <c r="G8" s="1">
        <f t="shared" si="2"/>
        <v>7.5</v>
      </c>
    </row>
    <row r="9" spans="1:7">
      <c r="A9" s="1" t="s">
        <v>171</v>
      </c>
      <c r="B9" s="1">
        <f>B14/2</f>
        <v>15</v>
      </c>
      <c r="C9" s="1">
        <f t="shared" si="0"/>
        <v>7.5</v>
      </c>
      <c r="D9" s="1">
        <f t="shared" si="1"/>
        <v>5</v>
      </c>
      <c r="E9" s="1" t="s">
        <v>174</v>
      </c>
      <c r="F9" s="1"/>
      <c r="G9" s="1">
        <f t="shared" si="2"/>
        <v>3.75</v>
      </c>
    </row>
    <row r="10" spans="1:7">
      <c r="A10" s="27"/>
      <c r="B10" s="27">
        <v>1</v>
      </c>
      <c r="C10" s="27">
        <v>2</v>
      </c>
      <c r="D10" s="27">
        <v>3</v>
      </c>
      <c r="E10" s="27"/>
      <c r="F10" s="27"/>
      <c r="G10" s="27">
        <v>4</v>
      </c>
    </row>
    <row r="11" spans="1:7">
      <c r="A11" s="1" t="s">
        <v>176</v>
      </c>
      <c r="B11" s="1">
        <v>1200</v>
      </c>
      <c r="C11" s="1">
        <f t="shared" si="0"/>
        <v>600</v>
      </c>
      <c r="D11" s="1">
        <f t="shared" si="1"/>
        <v>400</v>
      </c>
      <c r="E11" s="1">
        <v>2</v>
      </c>
      <c r="F11" s="1"/>
      <c r="G11" s="1">
        <f t="shared" si="2"/>
        <v>300</v>
      </c>
    </row>
    <row r="12" spans="1:7">
      <c r="A12" s="1" t="s">
        <v>177</v>
      </c>
      <c r="B12" s="1">
        <v>240</v>
      </c>
      <c r="C12" s="1">
        <f t="shared" si="0"/>
        <v>120</v>
      </c>
      <c r="D12" s="1">
        <f t="shared" si="1"/>
        <v>80</v>
      </c>
      <c r="E12" s="1" t="s">
        <v>175</v>
      </c>
      <c r="F12" s="1"/>
      <c r="G12" s="1">
        <f t="shared" si="2"/>
        <v>60</v>
      </c>
    </row>
    <row r="13" spans="1:7">
      <c r="A13" s="1" t="s">
        <v>178</v>
      </c>
      <c r="B13" s="1">
        <v>60</v>
      </c>
      <c r="C13" s="1">
        <f t="shared" si="0"/>
        <v>30</v>
      </c>
      <c r="D13" s="1">
        <f t="shared" si="1"/>
        <v>20</v>
      </c>
      <c r="E13" s="1" t="s">
        <v>175</v>
      </c>
      <c r="F13" s="1"/>
      <c r="G13" s="1">
        <f t="shared" si="2"/>
        <v>15</v>
      </c>
    </row>
    <row r="14" spans="1:7">
      <c r="A14" s="1" t="s">
        <v>179</v>
      </c>
      <c r="B14" s="1">
        <v>30</v>
      </c>
      <c r="C14" s="1">
        <f t="shared" si="0"/>
        <v>15</v>
      </c>
      <c r="D14" s="1">
        <f t="shared" si="1"/>
        <v>10</v>
      </c>
      <c r="E14" s="1" t="s">
        <v>174</v>
      </c>
      <c r="F14" s="1"/>
      <c r="G14" s="1">
        <f t="shared" si="2"/>
        <v>7.5</v>
      </c>
    </row>
    <row r="15" spans="1:7">
      <c r="A15" s="27"/>
      <c r="B15" s="27">
        <v>1</v>
      </c>
      <c r="C15" s="27">
        <v>2</v>
      </c>
      <c r="D15" s="27">
        <v>3</v>
      </c>
      <c r="E15" s="27"/>
      <c r="F15" s="27"/>
      <c r="G15" s="27">
        <v>4</v>
      </c>
    </row>
    <row r="16" spans="1:7">
      <c r="A16" s="1" t="s">
        <v>181</v>
      </c>
      <c r="B16" s="1">
        <v>1260</v>
      </c>
      <c r="C16" s="1">
        <f>B16/2</f>
        <v>630</v>
      </c>
      <c r="D16" s="1">
        <f>B16/3</f>
        <v>420</v>
      </c>
      <c r="E16" s="1">
        <v>2</v>
      </c>
      <c r="F16" s="1"/>
      <c r="G16" s="1">
        <f>B16/4</f>
        <v>315</v>
      </c>
    </row>
    <row r="17" spans="1:7">
      <c r="A17" s="1" t="s">
        <v>182</v>
      </c>
      <c r="B17" s="1">
        <v>1500</v>
      </c>
      <c r="C17" s="1">
        <f t="shared" ref="C17:C18" si="4">B17/2</f>
        <v>750</v>
      </c>
      <c r="D17" s="1">
        <f t="shared" ref="D17:D18" si="5">B17/3</f>
        <v>500</v>
      </c>
      <c r="E17" s="1">
        <v>2</v>
      </c>
      <c r="F17" s="1"/>
      <c r="G17" s="1">
        <f t="shared" si="2"/>
        <v>375</v>
      </c>
    </row>
    <row r="18" spans="1:7">
      <c r="A18" s="1" t="s">
        <v>183</v>
      </c>
      <c r="B18" s="1">
        <v>4800</v>
      </c>
      <c r="C18" s="1">
        <f t="shared" si="4"/>
        <v>2400</v>
      </c>
      <c r="D18" s="1">
        <f t="shared" si="5"/>
        <v>1600</v>
      </c>
      <c r="E18" s="1">
        <v>4</v>
      </c>
      <c r="F18" s="1"/>
      <c r="G18" s="1">
        <f t="shared" si="2"/>
        <v>1200</v>
      </c>
    </row>
    <row r="19" spans="1:7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2024-03-29T15:20:20Z</dcterms:modified>
</cp:coreProperties>
</file>